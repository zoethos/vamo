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Build Sequ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<sst xmlns="http://schemas.openxmlformats.org/spreadsheetml/2006/main" count="103" uniqueCount="91">
  <si>
    <t xml:space="preserve">Trip &amp; Events App Portfolio — Prioritization Scorecard</t>
  </si>
  <si>
    <t xml:space="preserve">Build order driven by Time-to-Cash + Strategic Fit (priority 1), then Market Size. Frameworks: weighted scorecard + RICE. Scores 1-5 (blue = your editable inputs).</t>
  </si>
  <si>
    <t xml:space="preserve">WEIGHTS (priority-tuned)</t>
  </si>
  <si>
    <t xml:space="preserve">Build Ease</t>
  </si>
  <si>
    <t xml:space="preserve">Time-to-Cash</t>
  </si>
  <si>
    <t xml:space="preserve">Market Size</t>
  </si>
  <si>
    <t xml:space="preserve">Monetization</t>
  </si>
  <si>
    <t xml:space="preserve">Validation Ease</t>
  </si>
  <si>
    <t xml:space="preserve">Strategic Fit</t>
  </si>
  <si>
    <t xml:space="preserve">Weight sum</t>
  </si>
  <si>
    <t xml:space="preserve">#</t>
  </si>
  <si>
    <t xml:space="preserve">Product (working name)</t>
  </si>
  <si>
    <t xml:space="preserve">Segment</t>
  </si>
  <si>
    <t xml:space="preserve">One-liner</t>
  </si>
  <si>
    <t xml:space="preserve">Build
Ease</t>
  </si>
  <si>
    <t xml:space="preserve">Time-to
Cash</t>
  </si>
  <si>
    <t xml:space="preserve">Market
Size</t>
  </si>
  <si>
    <t xml:space="preserve">Monet-
ization</t>
  </si>
  <si>
    <t xml:space="preserve">Valid'n
Ease</t>
  </si>
  <si>
    <t xml:space="preserve">Strategic
Fit</t>
  </si>
  <si>
    <t xml:space="preserve">Weighted
Score /100</t>
  </si>
  <si>
    <t xml:space="preserve">Rank</t>
  </si>
  <si>
    <t xml:space="preserve">RICE
Reach</t>
  </si>
  <si>
    <t xml:space="preserve">RICE
Impact</t>
  </si>
  <si>
    <t xml:space="preserve">RICE
Conf.</t>
  </si>
  <si>
    <t xml:space="preserve">RICE
Effort(pm)</t>
  </si>
  <si>
    <t xml:space="preserve">RICE
Score</t>
  </si>
  <si>
    <t xml:space="preserve">SplitTrip</t>
  </si>
  <si>
    <t xml:space="preserve">Group finance</t>
  </si>
  <si>
    <t xml:space="preserve">Trip/event-framed bill splitting with invite-to-split viral loop</t>
  </si>
  <si>
    <t xml:space="preserve">EventList</t>
  </si>
  <si>
    <t xml:space="preserve">Events / social</t>
  </si>
  <si>
    <t xml:space="preserve">Guest list + RSVP + countdown for parties, dinners, weddings</t>
  </si>
  <si>
    <t xml:space="preserve">TripBoard</t>
  </si>
  <si>
    <t xml:space="preserve">Travel planning</t>
  </si>
  <si>
    <t xml:space="preserve">Real-time collaborative itinerary + shared packing/checklists</t>
  </si>
  <si>
    <t xml:space="preserve">TripMap</t>
  </si>
  <si>
    <t xml:space="preserve">Location / GIS</t>
  </si>
  <si>
    <t xml:space="preserve">Opt-in group live location + pin &amp; tag special places on a map</t>
  </si>
  <si>
    <t xml:space="preserve">TripReel</t>
  </si>
  <si>
    <t xml:space="preserve">Memories / media</t>
  </si>
  <si>
    <t xml:space="preserve">Photos &amp; videos on a trip map + auto-generated recap video</t>
  </si>
  <si>
    <t xml:space="preserve">The Suite</t>
  </si>
  <si>
    <t xml:space="preserve">Integrated platform</t>
  </si>
  <si>
    <t xml:space="preserve">All-in-one trip super-app: bills + itinerary + map + memories</t>
  </si>
  <si>
    <t xml:space="preserve">SCORING SCALE (1 = poor/hard, 5 = excellent/easy)</t>
  </si>
  <si>
    <t xml:space="preserve">5 = ship in days (CRUD/forms); 1 = heavy infra (real-time GPS, video pipeline)</t>
  </si>
  <si>
    <t xml:space="preserve">5 = can charge at launch; 1 = long runway before willingness to pay</t>
  </si>
  <si>
    <t xml:space="preserve">5 = mass-market everyone; 1 = narrow niche</t>
  </si>
  <si>
    <t xml:space="preserve">5 = strong proven willingness to pay; 1 = users expect free</t>
  </si>
  <si>
    <t xml:space="preserve">5 = cheap to test real demand; 1 = expensive to even prove</t>
  </si>
  <si>
    <t xml:space="preserve">5 = core to the trip-memory endgame; 1 = adjacent / off-path</t>
  </si>
  <si>
    <t xml:space="preserve">RICE</t>
  </si>
  <si>
    <t xml:space="preserve">Score = Reach x Impact x Confidence / Effort(person-months). Reach in relative k-users/2 quarters; Impact 0.25-3; Conf as %.</t>
  </si>
  <si>
    <t xml:space="preserve">Recommended Ship → Cash → Learn Sequence</t>
  </si>
  <si>
    <t xml:space="preserve">Wave</t>
  </si>
  <si>
    <t xml:space="preserve">Product</t>
  </si>
  <si>
    <t xml:space="preserve">Ship target</t>
  </si>
  <si>
    <t xml:space="preserve">Monetization at this wave</t>
  </si>
  <si>
    <t xml:space="preserve">Kill / Go signal (what real pulse tells you)</t>
  </si>
  <si>
    <t xml:space="preserve">Funds the next</t>
  </si>
  <si>
    <t xml:space="preserve">Wave 1</t>
  </si>
  <si>
    <t xml:space="preserve">Weeks 1-4</t>
  </si>
  <si>
    <t xml:space="preserve">Freemium: free core; $3-5/mo for receipt scan, multi-currency, unlimited trips</t>
  </si>
  <si>
    <t xml:space="preserve">Go if invited friends activate &amp; free-&gt;paid &gt; ~3-5%. Crowded vs Splitwise, so watch retention.</t>
  </si>
  <si>
    <t xml:space="preserve">Cash + a warm user base already grouped into trips</t>
  </si>
  <si>
    <t xml:space="preserve">Wave 2</t>
  </si>
  <si>
    <t xml:space="preserve">Weeks 5-8</t>
  </si>
  <si>
    <t xml:space="preserve">Mostly free (Partiful owns free); charge only on weddings / premium event pages</t>
  </si>
  <si>
    <t xml:space="preserve">Go if events drive new groups in cheaply. If CAC poor, keep as a free feeder, not a product.</t>
  </si>
  <si>
    <t xml:space="preserve">More groups; widens top of funnel</t>
  </si>
  <si>
    <t xml:space="preserve">Wave 2b</t>
  </si>
  <si>
    <t xml:space="preserve">Weeks 7-12</t>
  </si>
  <si>
    <t xml:space="preserve">$30-40/yr Pro (matches Wanderlog) once collab itinerary is sticky</t>
  </si>
  <si>
    <t xml:space="preserve">Go if daily-active during trips rises. Wanderlog is strong — only push if engagement is real.</t>
  </si>
  <si>
    <t xml:space="preserve">Daily engagement = the audience for memories</t>
  </si>
  <si>
    <t xml:space="preserve">Wave 3</t>
  </si>
  <si>
    <t xml:space="preserve">Months 4-6</t>
  </si>
  <si>
    <t xml:space="preserve">Bundled into Pro; not sold standalone (Life360/Find My own this)</t>
  </si>
  <si>
    <t xml:space="preserve">Build only after Wave 1-2 prove people stick. Privacy opt-in is mandatory.</t>
  </si>
  <si>
    <t xml:space="preserve">Captures the raw route + places the recap needs</t>
  </si>
  <si>
    <t xml:space="preserve">Wave 4</t>
  </si>
  <si>
    <t xml:space="preserve">Months 6-9</t>
  </si>
  <si>
    <t xml:space="preserve">One-time recap video unlock and/or printed book (Polarsteps model, €36+)</t>
  </si>
  <si>
    <t xml:space="preserve">The emotional + viral payoff. Recap shares = your cheapest acquisition.</t>
  </si>
  <si>
    <t xml:space="preserve">Highest-margin sales + organic growth engine</t>
  </si>
  <si>
    <t xml:space="preserve">Wave 5</t>
  </si>
  <si>
    <t xml:space="preserve">Months 9+</t>
  </si>
  <si>
    <t xml:space="preserve">Single Pro bundle across all modules; multiple revenue streams</t>
  </si>
  <si>
    <t xml:space="preserve">Only assemble once each module has proven demand independently.</t>
  </si>
  <si>
    <t xml:space="preserve">The endgame — defensible because no incumbent owns the whole loop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</si>
</sst>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40"/>
    <col collapsed="false" customWidth="true" hidden="false" outlineLevel="0" max="9" min="5" style="0" width="8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6"/>
    <col collapsed="false" customWidth="true" hidden="false" outlineLevel="0" max="15" min="13" style="0" width="7"/>
    <col collapsed="false" customWidth="true" hidden="false" outlineLevel="0" max="16" min="16" style="0" width="9"/>
    <col collapsed="false" customWidth="true" hidden="false" outlineLevel="0" max="17" min="17" style="0" width="8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</row>
    <row r="5" customFormat="false" ht="46.2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H5" s="4" t="s">
        <v>9</v>
      </c>
    </row>
    <row r="6" customFormat="false" ht="15" hidden="false" customHeight="false" outlineLevel="0" collapsed="false">
      <c r="A6" s="5" t="n">
        <v>1.5</v>
      </c>
      <c r="B6" s="5" t="n">
        <v>3</v>
      </c>
      <c r="C6" s="5" t="n">
        <v>2</v>
      </c>
      <c r="D6" s="5" t="n">
        <v>1.5</v>
      </c>
      <c r="E6" s="5" t="n">
        <v>1</v>
      </c>
      <c r="F6" s="5" t="n">
        <v>3</v>
      </c>
      <c r="H6" s="6" t="n">
        <f aca="false">SUM(A6:F6)</f>
        <v>12</v>
      </c>
    </row>
    <row r="9" customFormat="false" ht="33.75" hidden="false" customHeight="true" outlineLevel="0" collapsed="false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20</v>
      </c>
      <c r="L9" s="7" t="s">
        <v>21</v>
      </c>
      <c r="M9" s="7" t="s">
        <v>22</v>
      </c>
      <c r="N9" s="7" t="s">
        <v>23</v>
      </c>
      <c r="O9" s="7" t="s">
        <v>24</v>
      </c>
      <c r="P9" s="7" t="s">
        <v>25</v>
      </c>
      <c r="Q9" s="7" t="s">
        <v>26</v>
      </c>
    </row>
    <row r="10" customFormat="false" ht="30" hidden="false" customHeight="true" outlineLevel="0" collapsed="false">
      <c r="A10" s="8" t="n">
        <v>1</v>
      </c>
      <c r="B10" s="9" t="s">
        <v>27</v>
      </c>
      <c r="C10" s="10" t="s">
        <v>28</v>
      </c>
      <c r="D10" s="10" t="s">
        <v>29</v>
      </c>
      <c r="E10" s="5" t="n">
        <v>5</v>
      </c>
      <c r="F10" s="5" t="n">
        <v>4</v>
      </c>
      <c r="G10" s="5" t="n">
        <v>5</v>
      </c>
      <c r="H10" s="5" t="n">
        <v>3</v>
      </c>
      <c r="I10" s="5" t="n">
        <v>5</v>
      </c>
      <c r="J10" s="5" t="n">
        <v>5</v>
      </c>
      <c r="K10" s="11" t="n">
        <f aca="false">SUMPRODUCT(E10:J10,$A$6:$F$6)/(5*$H$6)*100</f>
        <v>90</v>
      </c>
      <c r="L10" s="6" t="n">
        <f aca="false">RANK(K10,$K$10:$K$15)</f>
        <v>1</v>
      </c>
      <c r="M10" s="5" t="n">
        <v>8</v>
      </c>
      <c r="N10" s="5" t="n">
        <v>2</v>
      </c>
      <c r="O10" s="12" t="n">
        <v>0.8</v>
      </c>
      <c r="P10" s="5" t="n">
        <v>1.5</v>
      </c>
      <c r="Q10" s="13" t="n">
        <f aca="false">M10*N10*O10/P10</f>
        <v>8.53333333333333</v>
      </c>
    </row>
    <row r="11" customFormat="false" ht="30" hidden="false" customHeight="true" outlineLevel="0" collapsed="false">
      <c r="A11" s="14" t="n">
        <v>2</v>
      </c>
      <c r="B11" s="15" t="s">
        <v>30</v>
      </c>
      <c r="C11" s="16" t="s">
        <v>31</v>
      </c>
      <c r="D11" s="16" t="s">
        <v>32</v>
      </c>
      <c r="E11" s="17" t="n">
        <v>5</v>
      </c>
      <c r="F11" s="17" t="n">
        <v>3</v>
      </c>
      <c r="G11" s="17" t="n">
        <v>4</v>
      </c>
      <c r="H11" s="17" t="n">
        <v>3</v>
      </c>
      <c r="I11" s="17" t="n">
        <v>5</v>
      </c>
      <c r="J11" s="17" t="n">
        <v>3</v>
      </c>
      <c r="K11" s="18" t="n">
        <f aca="false">SUMPRODUCT(E11:J11,$A$6:$F$6)/(5*$H$6)*100</f>
        <v>71.6666666666667</v>
      </c>
      <c r="L11" s="19" t="n">
        <f aca="false">RANK(K11,$K$10:$K$15)</f>
        <v>3</v>
      </c>
      <c r="M11" s="17" t="n">
        <v>6</v>
      </c>
      <c r="N11" s="17" t="n">
        <v>1</v>
      </c>
      <c r="O11" s="20" t="n">
        <v>0.7</v>
      </c>
      <c r="P11" s="17" t="n">
        <v>1.5</v>
      </c>
      <c r="Q11" s="21" t="n">
        <f aca="false">M11*N11*O11/P11</f>
        <v>2.8</v>
      </c>
    </row>
    <row r="12" customFormat="false" ht="30" hidden="false" customHeight="true" outlineLevel="0" collapsed="false">
      <c r="A12" s="8" t="n">
        <v>3</v>
      </c>
      <c r="B12" s="9" t="s">
        <v>33</v>
      </c>
      <c r="C12" s="10" t="s">
        <v>34</v>
      </c>
      <c r="D12" s="10" t="s">
        <v>35</v>
      </c>
      <c r="E12" s="5" t="n">
        <v>4</v>
      </c>
      <c r="F12" s="5" t="n">
        <v>3</v>
      </c>
      <c r="G12" s="5" t="n">
        <v>4</v>
      </c>
      <c r="H12" s="5" t="n">
        <v>3</v>
      </c>
      <c r="I12" s="5" t="n">
        <v>4</v>
      </c>
      <c r="J12" s="5" t="n">
        <v>4</v>
      </c>
      <c r="K12" s="11" t="n">
        <f aca="false">SUMPRODUCT(E12:J12,$A$6:$F$6)/(5*$H$6)*100</f>
        <v>72.5</v>
      </c>
      <c r="L12" s="6" t="n">
        <f aca="false">RANK(K12,$K$10:$K$15)</f>
        <v>2</v>
      </c>
      <c r="M12" s="5" t="n">
        <v>5</v>
      </c>
      <c r="N12" s="5" t="n">
        <v>1</v>
      </c>
      <c r="O12" s="12" t="n">
        <v>0.6</v>
      </c>
      <c r="P12" s="5" t="n">
        <v>2.5</v>
      </c>
      <c r="Q12" s="13" t="n">
        <f aca="false">M12*N12*O12/P12</f>
        <v>1.2</v>
      </c>
    </row>
    <row r="13" customFormat="false" ht="30" hidden="false" customHeight="true" outlineLevel="0" collapsed="false">
      <c r="A13" s="14" t="n">
        <v>4</v>
      </c>
      <c r="B13" s="15" t="s">
        <v>36</v>
      </c>
      <c r="C13" s="16" t="s">
        <v>37</v>
      </c>
      <c r="D13" s="16" t="s">
        <v>38</v>
      </c>
      <c r="E13" s="17" t="n">
        <v>2</v>
      </c>
      <c r="F13" s="17" t="n">
        <v>2</v>
      </c>
      <c r="G13" s="17" t="n">
        <v>3</v>
      </c>
      <c r="H13" s="17" t="n">
        <v>2</v>
      </c>
      <c r="I13" s="17" t="n">
        <v>2</v>
      </c>
      <c r="J13" s="17" t="n">
        <v>4</v>
      </c>
      <c r="K13" s="18" t="n">
        <f aca="false">SUMPRODUCT(E13:J13,$A$6:$F$6)/(5*$H$6)*100</f>
        <v>53.3333333333333</v>
      </c>
      <c r="L13" s="19" t="n">
        <f aca="false">RANK(K13,$K$10:$K$15)</f>
        <v>6</v>
      </c>
      <c r="M13" s="17" t="n">
        <v>3</v>
      </c>
      <c r="N13" s="17" t="n">
        <v>1</v>
      </c>
      <c r="O13" s="20" t="n">
        <v>0.4</v>
      </c>
      <c r="P13" s="17" t="n">
        <v>4</v>
      </c>
      <c r="Q13" s="21" t="n">
        <f aca="false">M13*N13*O13/P13</f>
        <v>0.3</v>
      </c>
    </row>
    <row r="14" customFormat="false" ht="30" hidden="false" customHeight="true" outlineLevel="0" collapsed="false">
      <c r="A14" s="8" t="n">
        <v>5</v>
      </c>
      <c r="B14" s="9" t="s">
        <v>39</v>
      </c>
      <c r="C14" s="10" t="s">
        <v>40</v>
      </c>
      <c r="D14" s="10" t="s">
        <v>41</v>
      </c>
      <c r="E14" s="5" t="n">
        <v>2</v>
      </c>
      <c r="F14" s="5" t="n">
        <v>3</v>
      </c>
      <c r="G14" s="5" t="n">
        <v>4</v>
      </c>
      <c r="H14" s="5" t="n">
        <v>4</v>
      </c>
      <c r="I14" s="5" t="n">
        <v>2</v>
      </c>
      <c r="J14" s="5" t="n">
        <v>5</v>
      </c>
      <c r="K14" s="11" t="n">
        <f aca="false">SUMPRODUCT(E14:J14,$A$6:$F$6)/(5*$H$6)*100</f>
        <v>71.6666666666667</v>
      </c>
      <c r="L14" s="6" t="n">
        <f aca="false">RANK(K14,$K$10:$K$15)</f>
        <v>3</v>
      </c>
      <c r="M14" s="5" t="n">
        <v>5</v>
      </c>
      <c r="N14" s="5" t="n">
        <v>2</v>
      </c>
      <c r="O14" s="12" t="n">
        <v>0.6</v>
      </c>
      <c r="P14" s="5" t="n">
        <v>4</v>
      </c>
      <c r="Q14" s="13" t="n">
        <f aca="false">M14*N14*O14/P14</f>
        <v>1.5</v>
      </c>
    </row>
    <row r="15" customFormat="false" ht="30" hidden="false" customHeight="true" outlineLevel="0" collapsed="false">
      <c r="A15" s="14" t="n">
        <v>6</v>
      </c>
      <c r="B15" s="15" t="s">
        <v>42</v>
      </c>
      <c r="C15" s="16" t="s">
        <v>43</v>
      </c>
      <c r="D15" s="16" t="s">
        <v>44</v>
      </c>
      <c r="E15" s="17" t="n">
        <v>1</v>
      </c>
      <c r="F15" s="17" t="n">
        <v>2</v>
      </c>
      <c r="G15" s="17" t="n">
        <v>5</v>
      </c>
      <c r="H15" s="17" t="n">
        <v>5</v>
      </c>
      <c r="I15" s="17" t="n">
        <v>1</v>
      </c>
      <c r="J15" s="17" t="n">
        <v>5</v>
      </c>
      <c r="K15" s="18" t="n">
        <f aca="false">SUMPRODUCT(E15:J15,$A$6:$F$6)/(5*$H$6)*100</f>
        <v>68.3333333333333</v>
      </c>
      <c r="L15" s="19" t="n">
        <f aca="false">RANK(K15,$K$10:$K$15)</f>
        <v>5</v>
      </c>
      <c r="M15" s="17" t="n">
        <v>8</v>
      </c>
      <c r="N15" s="17" t="n">
        <v>3</v>
      </c>
      <c r="O15" s="20" t="n">
        <v>0.4</v>
      </c>
      <c r="P15" s="17" t="n">
        <v>9</v>
      </c>
      <c r="Q15" s="21" t="n">
        <f aca="false">M15*N15*O15/P15</f>
        <v>1.06666666666667</v>
      </c>
    </row>
    <row r="18" customFormat="false" ht="15" hidden="false" customHeight="false" outlineLevel="0" collapsed="false">
      <c r="A18" s="3" t="s">
        <v>45</v>
      </c>
    </row>
    <row r="19" customFormat="false" ht="15" hidden="false" customHeight="false" outlineLevel="0" collapsed="false">
      <c r="A19" s="3" t="s">
        <v>3</v>
      </c>
      <c r="B19" s="2" t="s">
        <v>46</v>
      </c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3" t="s">
        <v>4</v>
      </c>
      <c r="B20" s="2" t="s">
        <v>47</v>
      </c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3" t="s">
        <v>5</v>
      </c>
      <c r="B21" s="2" t="s">
        <v>48</v>
      </c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3" t="s">
        <v>6</v>
      </c>
      <c r="B22" s="2" t="s">
        <v>49</v>
      </c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3" t="s">
        <v>7</v>
      </c>
      <c r="B23" s="2" t="s">
        <v>50</v>
      </c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3" t="s">
        <v>8</v>
      </c>
      <c r="B24" s="2" t="s">
        <v>51</v>
      </c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3" t="s">
        <v>52</v>
      </c>
      <c r="B25" s="2" t="s">
        <v>53</v>
      </c>
      <c r="C25" s="2"/>
      <c r="D25" s="2"/>
      <c r="E25" s="2"/>
      <c r="F25" s="2"/>
      <c r="G25" s="2"/>
      <c r="H25" s="2"/>
      <c r="I25" s="2"/>
      <c r="J25" s="2"/>
    </row>
  </sheetData>
  <mergeCells count="9">
    <mergeCell ref="A1:R1"/>
    <mergeCell ref="A2:R2"/>
    <mergeCell ref="B19:J19"/>
    <mergeCell ref="B20:J20"/>
    <mergeCell ref="B21:J21"/>
    <mergeCell ref="B22:J22"/>
    <mergeCell ref="B23:J23"/>
    <mergeCell ref="B24:J24"/>
    <mergeCell ref="B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22" t="s">
        <v>54</v>
      </c>
      <c r="B1" s="22"/>
      <c r="C1" s="22"/>
      <c r="D1" s="22"/>
      <c r="E1" s="22"/>
      <c r="F1" s="22"/>
    </row>
    <row r="3" customFormat="false" ht="30" hidden="false" customHeight="true" outlineLevel="0" collapsed="false">
      <c r="A3" s="7" t="s">
        <v>55</v>
      </c>
      <c r="B3" s="7" t="s">
        <v>56</v>
      </c>
      <c r="C3" s="7" t="s">
        <v>57</v>
      </c>
      <c r="D3" s="7" t="s">
        <v>58</v>
      </c>
      <c r="E3" s="7" t="s">
        <v>59</v>
      </c>
      <c r="F3" s="7" t="s">
        <v>60</v>
      </c>
    </row>
    <row r="4" customFormat="false" ht="55.5" hidden="false" customHeight="true" outlineLevel="0" collapsed="false">
      <c r="A4" s="8" t="s">
        <v>61</v>
      </c>
      <c r="B4" s="9" t="s">
        <v>27</v>
      </c>
      <c r="C4" s="6" t="s">
        <v>62</v>
      </c>
      <c r="D4" s="10" t="s">
        <v>63</v>
      </c>
      <c r="E4" s="10" t="s">
        <v>64</v>
      </c>
      <c r="F4" s="10" t="s">
        <v>65</v>
      </c>
    </row>
    <row r="5" customFormat="false" ht="55.5" hidden="false" customHeight="true" outlineLevel="0" collapsed="false">
      <c r="A5" s="14" t="s">
        <v>66</v>
      </c>
      <c r="B5" s="15" t="s">
        <v>30</v>
      </c>
      <c r="C5" s="19" t="s">
        <v>67</v>
      </c>
      <c r="D5" s="16" t="s">
        <v>68</v>
      </c>
      <c r="E5" s="16" t="s">
        <v>69</v>
      </c>
      <c r="F5" s="16" t="s">
        <v>70</v>
      </c>
    </row>
    <row r="6" customFormat="false" ht="55.5" hidden="false" customHeight="true" outlineLevel="0" collapsed="false">
      <c r="A6" s="8" t="s">
        <v>71</v>
      </c>
      <c r="B6" s="9" t="s">
        <v>33</v>
      </c>
      <c r="C6" s="6" t="s">
        <v>72</v>
      </c>
      <c r="D6" s="10" t="s">
        <v>73</v>
      </c>
      <c r="E6" s="10" t="s">
        <v>74</v>
      </c>
      <c r="F6" s="10" t="s">
        <v>75</v>
      </c>
    </row>
    <row r="7" customFormat="false" ht="55.5" hidden="false" customHeight="true" outlineLevel="0" collapsed="false">
      <c r="A7" s="14" t="s">
        <v>76</v>
      </c>
      <c r="B7" s="15" t="s">
        <v>36</v>
      </c>
      <c r="C7" s="19" t="s">
        <v>77</v>
      </c>
      <c r="D7" s="16" t="s">
        <v>78</v>
      </c>
      <c r="E7" s="16" t="s">
        <v>79</v>
      </c>
      <c r="F7" s="16" t="s">
        <v>80</v>
      </c>
    </row>
    <row r="8" customFormat="false" ht="55.5" hidden="false" customHeight="true" outlineLevel="0" collapsed="false">
      <c r="A8" s="8" t="s">
        <v>81</v>
      </c>
      <c r="B8" s="9" t="s">
        <v>39</v>
      </c>
      <c r="C8" s="6" t="s">
        <v>82</v>
      </c>
      <c r="D8" s="10" t="s">
        <v>83</v>
      </c>
      <c r="E8" s="10" t="s">
        <v>84</v>
      </c>
      <c r="F8" s="10" t="s">
        <v>85</v>
      </c>
    </row>
    <row r="9" customFormat="false" ht="55.5" hidden="false" customHeight="true" outlineLevel="0" collapsed="false">
      <c r="A9" s="14" t="s">
        <v>86</v>
      </c>
      <c r="B9" s="15" t="s">
        <v>42</v>
      </c>
      <c r="C9" s="19" t="s">
        <v>87</v>
      </c>
      <c r="D9" s="16" t="s">
        <v>88</v>
      </c>
      <c r="E9" s="16" t="s">
        <v>89</v>
      </c>
      <c r="F9" s="16" t="s">
        <v>90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2026-05-31T21:19:45Z</dcterms:created>
  <dc:creator>openpyxl</dc:creator>
  <dc:description/>
  <dc:language>en-US</dc:language>
  <cp:lastModifiedBy/>
  <dcterms:modified xsi:type="dcterms:W3CDTF">2026-05-31T21:19:45Z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