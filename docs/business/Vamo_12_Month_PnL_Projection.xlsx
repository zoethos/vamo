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62da840e9e44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3821951246a4ec4"/>
    <x:sheet xmlns:r="http://schemas.openxmlformats.org/officeDocument/2006/relationships" name="Assumptions" sheetId="2" r:id="R0bde6bffdd304222"/>
    <x:sheet xmlns:r="http://schemas.openxmlformats.org/officeDocument/2006/relationships" name="Monthly_PnL" sheetId="3" r:id="R5ab4ead58a9545d4"/>
    <x:sheet xmlns:r="http://schemas.openxmlformats.org/officeDocument/2006/relationships" name="Scaling_Gates" sheetId="4" r:id="Ra85edc8587ae4113"/>
    <x:sheet xmlns:r="http://schemas.openxmlformats.org/officeDocument/2006/relationships" name="Checks" sheetId="5" r:id="Ra321e600c87d479f"/>
    <x:sheet xmlns:r="http://schemas.openxmlformats.org/officeDocument/2006/relationships" name="Sources" sheetId="6" r:id="Rce8bffe666294d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%;[Red](0.0%);-"/>
    <x:numFmt numFmtId="201" formatCode="&quot;$&quot;#,##0;[Red](&quot;$&quot;#,##0);-"/>
    <x:numFmt numFmtId="202" formatCode="&quot;$&quot;#,##0.00;[Red](&quot;$&quot;#,##0.00);-"/>
    <x:numFmt numFmtId="203" formatCode="0.0x;[Red](0.0x);-"/>
    <x:numFmt numFmtId="204" formatCode="#,##0;[Red](#,##0);-"/>
    <x:numFmt numFmtId="205" formatCode="#,##0.0;[Red](#,##0.0);-"/>
    <x:numFmt numFmtId="206" formatCode="0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D7377"/>
      <x:name val="Carlito"/>
    </x:font>
    <x:font>
      <x:b/>
      <x:sz val="11"/>
      <x:color rgb="FF0000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2F36"/>
      </x:patternFill>
    </x:fill>
    <x:fill>
      <x:patternFill patternType="solid">
        <x:fgColor rgb="FFE5F6F3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EAF2FF"/>
      </x:patternFill>
    </x:fill>
    <x:fill>
      <x:patternFill patternType="solid">
        <x:fgColor rgb="FFF2FFD1"/>
      </x:patternFill>
    </x:fill>
  </x:fills>
  <x:borders count="15">
    <x:border/>
    <x:border>
      <x:left style="thin">
        <x:color rgb="FF0B2F36"/>
      </x:left>
      <x:top style="thin">
        <x:color rgb="FF0B2F36"/>
      </x:top>
      <x:bottom style="thin">
        <x:color rgb="FF0B2F36"/>
      </x:bottom>
    </x:border>
    <x:border>
      <x:top style="thin">
        <x:color rgb="FF0B2F36"/>
      </x:top>
      <x:bottom style="thin">
        <x:color rgb="FF0B2F36"/>
      </x:bottom>
    </x:border>
    <x:border>
      <x:right style="thin">
        <x:color rgb="FF0B2F36"/>
      </x:right>
      <x:top style="thin">
        <x:color rgb="FF0B2F36"/>
      </x:top>
      <x:bottom style="thin">
        <x:color rgb="FF0B2F36"/>
      </x:bottom>
    </x:border>
    <x:border>
      <x:bottom style="thin">
        <x:color rgb="FFD8E1E2"/>
      </x:bottom>
    </x:border>
    <x:border>
      <x:top style="thin">
        <x:color rgb="FFD8E1E2"/>
      </x:top>
      <x:bottom style="thin">
        <x:color rgb="FFD8E1E2"/>
      </x:bottom>
    </x:border>
    <x:border>
      <x:left style="thin">
        <x:color rgb="FFD8E1E2"/>
      </x:left>
      <x:top style="thin">
        <x:color rgb="FFD8E1E2"/>
      </x:top>
      <x:bottom style="thin">
        <x:color rgb="FFD8E1E2"/>
      </x:bottom>
    </x:border>
    <x:border>
      <x:right style="thin">
        <x:color rgb="FFD8E1E2"/>
      </x:right>
      <x:top style="thin">
        <x:color rgb="FFD8E1E2"/>
      </x:top>
      <x:bottom style="thin">
        <x:color rgb="FFD8E1E2"/>
      </x:bottom>
    </x:border>
    <x:border>
      <x:left style="thin">
        <x:color rgb="FFD8E1E2"/>
      </x:left>
      <x:top style="thin">
        <x:color rgb="FFD8E1E2"/>
      </x:top>
    </x:border>
    <x:border>
      <x:top style="thin">
        <x:color rgb="FFD8E1E2"/>
      </x:top>
    </x:border>
    <x:border>
      <x:right style="thin">
        <x:color rgb="FFD8E1E2"/>
      </x:right>
      <x:top style="thin">
        <x:color rgb="FFD8E1E2"/>
      </x:top>
    </x:border>
    <x:border>
      <x:left style="thin">
        <x:color rgb="FFD8E1E2"/>
      </x:left>
    </x:border>
    <x:border>
      <x:right style="thin">
        <x:color rgb="FFD8E1E2"/>
      </x:right>
    </x:border>
    <x:border>
      <x:left style="thin">
        <x:color rgb="FFD8E1E2"/>
      </x:left>
      <x:bottom style="thin">
        <x:color rgb="FFD8E1E2"/>
      </x:bottom>
    </x:border>
    <x:border>
      <x:right style="thin">
        <x:color rgb="FFD8E1E2"/>
      </x:right>
      <x:bottom style="thin">
        <x:color rgb="FFD8E1E2"/>
      </x:bottom>
    </x:border>
  </x:borders>
  <x:cellStyleXfs count="1">
    <x:xf numFmtId="0" fontId="0" fillId="0" borderId="0"/>
  </x:cellStyleXfs>
  <x:cellXfs count="8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0" borderId="4" xfId="0" applyNumberFormat="1" applyFont="1" applyFill="1" applyBorder="1"/>
    <x:xf numFmtId="0" fontId="5" fillId="5" borderId="4" xfId="0" applyNumberFormat="1" applyFont="1" applyFill="1" applyBorder="1"/>
    <x:xf numFmtId="0" fontId="6" fillId="6" borderId="4" xfId="0" applyNumberFormat="1" applyFont="1" applyFill="1" applyBorder="1"/>
    <x:xf numFmtId="0" fontId="0" fillId="0" borderId="5" xfId="0" applyNumberFormat="1" applyFont="1" applyFill="1" applyBorder="1"/>
    <x:xf numFmtId="0" fontId="5" fillId="5" borderId="5" xfId="0" applyNumberFormat="1" applyFont="1" applyFill="1" applyBorder="1"/>
    <x:xf numFmtId="0" fontId="6" fillId="6" borderId="5" xfId="0" applyNumberFormat="1" applyFont="1" applyFill="1" applyBorder="1"/>
    <x:xf numFmtId="200" fontId="5" fillId="5" borderId="5" xfId="0" applyNumberFormat="1" applyFont="1" applyFill="1" applyBorder="1"/>
    <x:xf numFmtId="201" fontId="5" fillId="5" borderId="5" xfId="0" applyNumberFormat="1" applyFont="1" applyFill="1" applyBorder="1"/>
    <x:xf numFmtId="202" fontId="5" fillId="5" borderId="5" xfId="0" applyNumberFormat="1" applyFont="1" applyFill="1" applyBorder="1"/>
    <x:xf numFmtId="203" fontId="5" fillId="5" borderId="5" xfId="0" applyNumberFormat="1" applyFont="1" applyFill="1" applyBorder="1"/>
    <x:xf numFmtId="204" fontId="5" fillId="5" borderId="5" xfId="0" applyNumberFormat="1" applyFont="1" applyFill="1" applyBorder="1"/>
    <x:xf numFmtId="200" fontId="6" fillId="6" borderId="5" xfId="0" applyNumberFormat="1" applyFont="1" applyFill="1" applyBorder="1"/>
    <x:xf numFmtId="201" fontId="6" fillId="6" borderId="5" xfId="0" applyNumberFormat="1" applyFont="1" applyFill="1" applyBorder="1"/>
    <x:xf numFmtId="203" fontId="6" fillId="6" borderId="5" xfId="0" applyNumberFormat="1" applyFont="1" applyFill="1" applyBorder="1"/>
    <x:xf numFmtId="204" fontId="6" fillId="6" borderId="5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201" fontId="6" fillId="7" borderId="0" xfId="0" applyNumberFormat="1" applyFont="1" applyFill="1" applyBorder="1"/>
    <x:xf numFmtId="203" fontId="6" fillId="7" borderId="0" xfId="0" applyNumberFormat="1" applyFont="1" applyFill="1" applyBorder="1"/>
    <x:xf numFmtId="0" fontId="2" fillId="3" borderId="6" xfId="0" applyNumberFormat="1" applyFont="1" applyFill="1" applyBorder="1"/>
    <x:xf numFmtId="0" fontId="2" fillId="3" borderId="5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2" fillId="3" borderId="13" xfId="0" applyNumberFormat="1" applyFont="1" applyFill="1" applyBorder="1"/>
    <x:xf numFmtId="0" fontId="2" fillId="3" borderId="4" xfId="0" applyNumberFormat="1" applyFont="1" applyFill="1" applyBorder="1"/>
    <x:xf numFmtId="0" fontId="2" fillId="3" borderId="14" xfId="0" applyNumberFormat="1" applyFont="1" applyFill="1" applyBorder="1"/>
    <x:xf numFmtId="204" fontId="2" fillId="3" borderId="9" xfId="0" applyNumberFormat="1" applyFont="1" applyFill="1" applyBorder="1"/>
    <x:xf numFmtId="204" fontId="2" fillId="3" borderId="10" xfId="0" applyNumberFormat="1" applyFont="1" applyFill="1" applyBorder="1"/>
    <x:xf numFmtId="204" fontId="2" fillId="3" borderId="0" xfId="0" applyNumberFormat="1" applyFont="1" applyFill="1" applyBorder="1"/>
    <x:xf numFmtId="204" fontId="2" fillId="3" borderId="12" xfId="0" applyNumberFormat="1" applyFont="1" applyFill="1" applyBorder="1"/>
    <x:xf numFmtId="204" fontId="2" fillId="3" borderId="4" xfId="0" applyNumberFormat="1" applyFont="1" applyFill="1" applyBorder="1"/>
    <x:xf numFmtId="204" fontId="2" fillId="3" borderId="14" xfId="0" applyNumberFormat="1" applyFont="1" applyFill="1" applyBorder="1"/>
    <x:xf numFmtId="201" fontId="2" fillId="3" borderId="9" xfId="0" applyNumberFormat="1" applyFont="1" applyFill="1" applyBorder="1"/>
    <x:xf numFmtId="201" fontId="2" fillId="3" borderId="10" xfId="0" applyNumberFormat="1" applyFont="1" applyFill="1" applyBorder="1"/>
    <x:xf numFmtId="201" fontId="2" fillId="3" borderId="0" xfId="0" applyNumberFormat="1" applyFont="1" applyFill="1" applyBorder="1"/>
    <x:xf numFmtId="201" fontId="2" fillId="3" borderId="12" xfId="0" applyNumberFormat="1" applyFont="1" applyFill="1" applyBorder="1"/>
    <x:xf numFmtId="201" fontId="2" fillId="3" borderId="4" xfId="0" applyNumberFormat="1" applyFont="1" applyFill="1" applyBorder="1"/>
    <x:xf numFmtId="201" fontId="2" fillId="3" borderId="14" xfId="0" applyNumberFormat="1" applyFont="1" applyFill="1" applyBorder="1"/>
    <x:xf numFmtId="201" fontId="0" fillId="0" borderId="0" xfId="0" applyNumberFormat="1" applyFont="1" applyFill="1" applyBorder="1"/>
    <x:xf numFmtId="200" fontId="2" fillId="3" borderId="4" xfId="0" applyNumberFormat="1" applyFont="1" applyFill="1" applyBorder="1"/>
    <x:xf numFmtId="200" fontId="2" fillId="3" borderId="14" xfId="0" applyNumberFormat="1" applyFont="1" applyFill="1" applyBorder="1"/>
    <x:xf numFmtId="200" fontId="2" fillId="3" borderId="0" xfId="0" applyNumberFormat="1" applyFont="1" applyFill="1" applyBorder="1"/>
    <x:xf numFmtId="200" fontId="2" fillId="3" borderId="12" xfId="0" applyNumberFormat="1" applyFont="1" applyFill="1" applyBorder="1"/>
    <x:xf numFmtId="205" fontId="2" fillId="3" borderId="9" xfId="0" applyNumberFormat="1" applyFont="1" applyFill="1" applyBorder="1"/>
    <x:xf numFmtId="205" fontId="2" fillId="3" borderId="10" xfId="0" applyNumberFormat="1" applyFont="1" applyFill="1" applyBorder="1"/>
    <x:xf numFmtId="205" fontId="2" fillId="3" borderId="0" xfId="0" applyNumberFormat="1" applyFont="1" applyFill="1" applyBorder="1"/>
    <x:xf numFmtId="205" fontId="2" fillId="3" borderId="12" xfId="0" applyNumberFormat="1" applyFont="1" applyFill="1" applyBorder="1"/>
    <x:xf numFmtId="206" fontId="2" fillId="3" borderId="0" xfId="0" applyNumberFormat="1" applyFont="1" applyFill="1" applyBorder="1"/>
    <x:xf numFmtId="206" fontId="2" fillId="3" borderId="12" xfId="0" applyNumberFormat="1" applyFont="1" applyFill="1" applyBorder="1"/>
    <x:xf numFmtId="206" fontId="2" fillId="3" borderId="4" xfId="0" applyNumberFormat="1" applyFont="1" applyFill="1" applyBorder="1"/>
    <x:xf numFmtId="206" fontId="2" fillId="3" borderId="14" xfId="0" applyNumberFormat="1" applyFont="1" applyFill="1" applyBorder="1"/>
    <x:xf numFmtId="204" fontId="2" fillId="3" borderId="5" xfId="0" applyNumberFormat="1" applyFont="1" applyFill="1" applyBorder="1"/>
    <x:xf numFmtId="0" fontId="0" fillId="0" borderId="6" xfId="0" applyNumberFormat="1" applyFont="1" applyFill="1" applyBorder="1"/>
    <x:xf numFmtId="201" fontId="2" fillId="3" borderId="5" xfId="0" applyNumberFormat="1" applyFont="1" applyFill="1" applyBorder="1"/>
    <x:xf numFmtId="201" fontId="0" fillId="0" borderId="5" xfId="0" applyNumberFormat="1" applyFont="1" applyFill="1" applyBorder="1"/>
    <x:xf numFmtId="200" fontId="2" fillId="3" borderId="5" xfId="0" applyNumberFormat="1" applyFont="1" applyFill="1" applyBorder="1"/>
    <x:xf numFmtId="205" fontId="2" fillId="3" borderId="5" xfId="0" applyNumberFormat="1" applyFont="1" applyFill="1" applyBorder="1"/>
    <x:xf numFmtId="206" fontId="2" fillId="3" borderId="5" xfId="0" applyNumberFormat="1" applyFont="1" applyFill="1" applyBorder="1"/>
    <x:xf numFmtId="201" fontId="0" fillId="0" borderId="4" xfId="0" applyNumberFormat="1" applyFont="1" applyFill="1" applyBorder="1"/>
    <x:xf numFmtId="0" fontId="0" fillId="0" borderId="9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7" fillId="7" borderId="0" xfId="0" applyNumberFormat="1" applyFont="1" applyFill="1" applyBorder="1"/>
    <x:xf numFmtId="0" fontId="7" fillId="7" borderId="4" xfId="0" applyNumberFormat="1" applyFont="1" applyFill="1" applyBorder="1"/>
    <x:xf numFmtId="0" fontId="7" fillId="7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b43026a27b49e0" /><Relationship Type="http://schemas.openxmlformats.org/officeDocument/2006/relationships/theme" Target="/xl/theme/theme1.xml" Id="R6de419233ea3445b" /><Relationship Type="http://schemas.openxmlformats.org/officeDocument/2006/relationships/sharedStrings" Target="/xl/sharedStrings.xml" Id="R8dff97cb28354226" /><Relationship Type="http://schemas.openxmlformats.org/officeDocument/2006/relationships/worksheet" Target="/xl/worksheets/sheet1.xml" Id="R93821951246a4ec4" /><Relationship Type="http://schemas.openxmlformats.org/officeDocument/2006/relationships/worksheet" Target="/xl/worksheets/sheet2.xml" Id="R0bde6bffdd304222" /><Relationship Type="http://schemas.openxmlformats.org/officeDocument/2006/relationships/worksheet" Target="/xl/worksheets/sheet3.xml" Id="R5ab4ead58a9545d4" /><Relationship Type="http://schemas.openxmlformats.org/officeDocument/2006/relationships/worksheet" Target="/xl/worksheets/sheet4.xml" Id="Ra85edc8587ae4113" /><Relationship Type="http://schemas.openxmlformats.org/officeDocument/2006/relationships/worksheet" Target="/xl/worksheets/sheet5.xml" Id="Ra321e600c87d479f" /><Relationship Type="http://schemas.openxmlformats.org/officeDocument/2006/relationships/worksheet" Target="/xl/worksheets/sheet6.xml" Id="Rce8bffe666294dd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970e3ba7d114140" /><Relationship Type="http://schemas.openxmlformats.org/officeDocument/2006/relationships/chart" Target="/xl/drawings/charts/chart2.xml" Id="R703579394cfb452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Net revenue and EBITDA, months 1-12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Net revenue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'Summary'!$A$17:$A$28</c:f>
              <c:strCache>
                <c:ptCount val="0"/>
              </c:strCache>
            </c:strRef>
          </c:cat>
          <c:val>
            <c:numRef>
              <c:f>'Summary'!$B$17:$B$28</c:f>
              <c:numCache>
                <c:formatCode>"$"#,##0;[Red]("$"#,##0);-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EBITDA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'Summary'!$A$17:$A$28</c:f>
              <c:strCache>
                <c:ptCount val="0"/>
              </c:strCache>
            </c:strRef>
          </c:cat>
          <c:val>
            <c:numRef>
              <c:f>'Summary'!$C$17:$C$28</c:f>
              <c:numCache>
                <c:formatCode>"$"#,##0;[Red]("$"#,##0);-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Cash balance including founder capital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Cash balance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'Summary'!$F$17:$F$28</c:f>
              <c:strCache>
                <c:ptCount val="0"/>
              </c:strCache>
            </c:strRef>
          </c:cat>
          <c:val>
            <c:numRef>
              <c:f>'Summary'!$G$17:$G$28</c:f>
              <c:numCache>
                <c:formatCode>"$"#,##0;[Red]("$"#,##0);-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5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70e3ba7d114140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13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03579394cfb452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e6b24b3e69444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18.75" hidden="0" customWidth="1"/>
    <x:col min="3" max="3" width="33.75" hidden="0" customWidth="1"/>
    <x:col min="4" max="4" width="28.75" hidden="0" customWidth="1"/>
    <x:col min="5" max="5" width="3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>
      <x:c r="A1" s="2" t="str">
        <x:v>Vamo 12-month P&amp;L Projection - Summary</x:v>
      </x:c>
    </x:row>
    <x:row r="2">
      <x:c r="A2" s="5" t="str">
        <x:v>Companion workbook to Vamo_Financial_Model.xlsx. Update Assumptions first; outputs are formula-driven.</x:v>
      </x:c>
    </x:row>
    <x:row r="4">
      <x:c r="A4" t="str">
        <x:v>Selected scenario</x:v>
      </x:c>
      <x:c r="B4" s="7" t="str">
        <x:f>'Assumptions'!$B$4</x:f>
        <x:v>Base</x:v>
      </x:c>
      <x:c r="C4" t="str">
        <x:v>Model date</x:v>
      </x:c>
      <x:c r="D4" t="str">
        <x:v>2026-06-20</x:v>
      </x:c>
    </x:row>
    <x:row r="6">
      <x:c r="A6" s="9" t="str">
        <x:v>Metric</x:v>
      </x:c>
      <x:c r="B6" s="10" t="str">
        <x:v>Value</x:v>
      </x:c>
      <x:c r="C6" s="10" t="str">
        <x:v>Interpretation</x:v>
      </x:c>
      <x:c r="D6" s="11" t="str">
        <x:v>Basis</x:v>
      </x:c>
    </x:row>
    <x:row r="7">
      <x:c r="A7" s="16" t="str">
        <x:v>12-month net revenue</x:v>
      </x:c>
      <x:c r="B7" s="78" t="n">
        <x:f>SUM('Monthly_PnL'!B20:M20)</x:f>
        <x:v>11296.051114868904</x:v>
      </x:c>
      <x:c r="C7" s="16" t="str">
        <x:v>Revenue after app-store fees plus operator revenue</x:v>
      </x:c>
      <x:c r="D7" s="16" t="str">
        <x:v>Monthly row 20</x:v>
      </x:c>
    </x:row>
    <x:row r="8">
      <x:c r="A8" s="19" t="str">
        <x:v>12-month EBITDA</x:v>
      </x:c>
      <x:c r="B8" s="74" t="n">
        <x:f>SUM('Monthly_PnL'!B33:M33)</x:f>
        <x:v>-4360.117766361216</x:v>
      </x:c>
      <x:c r="C8" s="19" t="str">
        <x:v>Operating profit before tax/debt/depreciation</x:v>
      </x:c>
      <x:c r="D8" s="19" t="str">
        <x:v>Monthly row 33</x:v>
      </x:c>
    </x:row>
    <x:row r="9">
      <x:c r="A9" s="19" t="str">
        <x:v>First EBITDA-positive month</x:v>
      </x:c>
      <x:c r="B9" s="19" t="str">
        <x:f>IF(MIN('Monthly_PnL'!B41:M41)=999,"Not in first 12 months","Month "&amp;MIN('Monthly_PnL'!B41:M41))</x:f>
        <x:v>Month 11</x:v>
      </x:c>
      <x:c r="C9" s="19" t="str">
        <x:v>Month where monthly EBITDA first turns positive</x:v>
      </x:c>
      <x:c r="D9" s="19" t="str">
        <x:v>EBITDA marker</x:v>
      </x:c>
    </x:row>
    <x:row r="10">
      <x:c r="A10" s="19" t="str">
        <x:v>First 3-month EBITDA-positive streak</x:v>
      </x:c>
      <x:c r="B10" s="19" t="str">
        <x:f>IF(MIN('Monthly_PnL'!B42:M42)=999,"Not in first 12 months","Month "&amp;MIN('Monthly_PnL'!B42:M42))</x:f>
        <x:v>Not in first 12 months</x:v>
      </x:c>
      <x:c r="C10" s="19" t="str">
        <x:v>First month after three consecutive EBITDA-positive months</x:v>
      </x:c>
      <x:c r="D10" s="19" t="str">
        <x:v>3-mo marker</x:v>
      </x:c>
    </x:row>
    <x:row r="11">
      <x:c r="A11" s="19" t="str">
        <x:v>First scale-ready month</x:v>
      </x:c>
      <x:c r="B11" s="19" t="str">
        <x:f>IF(MIN('Monthly_PnL'!B43:M43)=999,"Not yet - keep learning","Month "&amp;MIN('Monthly_PnL'!B43:M43))</x:f>
        <x:v>Not yet - keep learning</x:v>
      </x:c>
      <x:c r="C11" s="19" t="str">
        <x:v>EBITDA streak + gross margin + LTV:CAC + payback hurdle</x:v>
      </x:c>
      <x:c r="D11" s="19" t="str">
        <x:v>Scale marker</x:v>
      </x:c>
    </x:row>
    <x:row r="12">
      <x:c r="A12" s="19" t="str">
        <x:v>Lowest cash balance</x:v>
      </x:c>
      <x:c r="B12" s="74" t="n">
        <x:f>MIN('Monthly_PnL'!B36:M36)</x:f>
        <x:v>6320.401214373468</x:v>
      </x:c>
      <x:c r="C12" s="19" t="str">
        <x:v>Includes starting capital</x:v>
      </x:c>
      <x:c r="D12" s="19" t="str">
        <x:v>Cash row</x:v>
      </x:c>
    </x:row>
    <x:row r="13">
      <x:c r="A13" s="19" t="str">
        <x:v>Month 12 MAU / payers</x:v>
      </x:c>
      <x:c r="B13" s="19" t="str">
        <x:f>ROUND('Monthly_PnL'!M11,0)&amp;" MAU / "&amp;ROUND('Monthly_PnL'!M13,0)&amp;" payers"</x:f>
        <x:v>11875 MAU / 437 payers</x:v>
      </x:c>
      <x:c r="C13" s="19" t="str">
        <x:v>End-of-period scale</x:v>
      </x:c>
      <x:c r="D13" s="19" t="str">
        <x:v>M12 KPI</x:v>
      </x:c>
    </x:row>
    <x:row r="16">
      <x:c r="A16" s="9" t="str">
        <x:v>Month</x:v>
      </x:c>
      <x:c r="B16" s="10" t="str">
        <x:v>Net revenue</x:v>
      </x:c>
      <x:c r="C16" s="10" t="str">
        <x:v>EBITDA</x:v>
      </x:c>
      <x:c r="D16" s="11" t="str">
        <x:v>Cash balance</x:v>
      </x:c>
      <x:c r="F16" s="9" t="str">
        <x:v>Month</x:v>
      </x:c>
      <x:c r="G16" s="11" t="str">
        <x:v>Cash balance</x:v>
      </x:c>
    </x:row>
    <x:row r="17">
      <x:c r="A17" s="16" t="str">
        <x:v>M1</x:v>
      </x:c>
      <x:c r="B17" s="78" t="n">
        <x:f>'Monthly_PnL'!B20</x:f>
        <x:v>105.7536</x:v>
      </x:c>
      <x:c r="C17" s="78" t="n">
        <x:f>'Monthly_PnL'!B33</x:f>
        <x:v>-719.8057142857143</x:v>
      </x:c>
      <x:c r="D17" s="78" t="n">
        <x:f>'Monthly_PnL'!B36</x:f>
        <x:v>10080.194285714286</x:v>
      </x:c>
      <x:c r="F17" s="16" t="str">
        <x:v>M1</x:v>
      </x:c>
      <x:c r="G17" s="78" t="n">
        <x:f>'Monthly_PnL'!B36</x:f>
        <x:v>10080.194285714286</x:v>
      </x:c>
    </x:row>
    <x:row r="18">
      <x:c r="A18" s="19" t="str">
        <x:v>M2</x:v>
      </x:c>
      <x:c r="B18" s="74" t="n">
        <x:f>'Monthly_PnL'!C20</x:f>
        <x:v>221.22771840000004</x:v>
      </x:c>
      <x:c r="C18" s="74" t="n">
        <x:f>'Monthly_PnL'!C33</x:f>
        <x:v>-675.52288</x:v>
      </x:c>
      <x:c r="D18" s="74" t="n">
        <x:f>'Monthly_PnL'!C36</x:f>
        <x:v>9404.671405714285</x:v>
      </x:c>
      <x:c r="F18" s="19" t="str">
        <x:v>M2</x:v>
      </x:c>
      <x:c r="G18" s="74" t="n">
        <x:f>'Monthly_PnL'!C36</x:f>
        <x:v>9404.671405714285</x:v>
      </x:c>
    </x:row>
    <x:row r="19">
      <x:c r="A19" s="19" t="str">
        <x:v>M3</x:v>
      </x:c>
      <x:c r="B19" s="74" t="n">
        <x:f>'Monthly_PnL'!D20</x:f>
        <x:v>346.5763324416001</x:v>
      </x:c>
      <x:c r="C19" s="74" t="n">
        <x:f>'Monthly_PnL'!D33</x:f>
        <x:v>-625.33786912</x:v>
      </x:c>
      <x:c r="D19" s="74" t="n">
        <x:f>'Monthly_PnL'!D36</x:f>
        <x:v>8779.333536594286</x:v>
      </x:c>
      <x:c r="F19" s="19" t="str">
        <x:v>M3</x:v>
      </x:c>
      <x:c r="G19" s="74" t="n">
        <x:f>'Monthly_PnL'!D36</x:f>
        <x:v>8779.333536594286</x:v>
      </x:c>
    </x:row>
    <x:row r="20">
      <x:c r="A20" s="19" t="str">
        <x:v>M4</x:v>
      </x:c>
      <x:c r="B20" s="74" t="n">
        <x:f>'Monthly_PnL'!E20</x:f>
        <x:v>482.07618720483845</x:v>
      </x:c>
      <x:c r="C20" s="74" t="n">
        <x:f>'Monthly_PnL'!E33</x:f>
        <x:v>-569.26064562688</x:v>
      </x:c>
      <x:c r="D20" s="74" t="n">
        <x:f>'Monthly_PnL'!E36</x:f>
        <x:v>8210.072890967405</x:v>
      </x:c>
      <x:c r="F20" s="19" t="str">
        <x:v>M4</x:v>
      </x:c>
      <x:c r="G20" s="74" t="n">
        <x:f>'Monthly_PnL'!E36</x:f>
        <x:v>8210.072890967405</x:v>
      </x:c>
    </x:row>
    <x:row r="21">
      <x:c r="A21" s="19" t="str">
        <x:v>M5</x:v>
      </x:c>
      <x:c r="B21" s="74" t="n">
        <x:f>'Monthly_PnL'!F20</x:f>
        <x:v>628.1251219893668</x:v>
      </x:c>
      <x:c r="C21" s="74" t="n">
        <x:f>'Monthly_PnL'!F33</x:f>
        <x:v>-507.22248188643715</x:v>
      </x:c>
      <x:c r="D21" s="74" t="n">
        <x:f>'Monthly_PnL'!F36</x:f>
        <x:v>7702.850409080969</x:v>
      </x:c>
      <x:c r="F21" s="19" t="str">
        <x:v>M5</x:v>
      </x:c>
      <x:c r="G21" s="74" t="n">
        <x:f>'Monthly_PnL'!F36</x:f>
        <x:v>7702.850409080969</x:v>
      </x:c>
    </x:row>
    <x:row r="22">
      <x:c r="A22" s="19" t="str">
        <x:v>M6</x:v>
      </x:c>
      <x:c r="B22" s="74" t="n">
        <x:f>'Monthly_PnL'!G20</x:f>
        <x:v>785.2415628594072</x:v>
      </x:c>
      <x:c r="C22" s="74" t="n">
        <x:f>'Monthly_PnL'!G33</x:f>
        <x:v>-439.07766088297205</x:v>
      </x:c>
      <x:c r="D22" s="74" t="n">
        <x:f>'Monthly_PnL'!G36</x:f>
        <x:v>7263.772748197996</x:v>
      </x:c>
      <x:c r="F22" s="19" t="str">
        <x:v>M6</x:v>
      </x:c>
      <x:c r="G22" s="74" t="n">
        <x:f>'Monthly_PnL'!G36</x:f>
        <x:v>7263.772748197996</x:v>
      </x:c>
    </x:row>
    <x:row r="23">
      <x:c r="A23" s="19" t="str">
        <x:v>M7</x:v>
      </x:c>
      <x:c r="B23" s="74" t="n">
        <x:f>'Monthly_PnL'!H20</x:f>
        <x:v>954.0651579530695</x:v>
      </x:c>
      <x:c r="C23" s="74" t="n">
        <x:f>'Monthly_PnL'!H33</x:f>
        <x:v>-364.60442812000696</x:v>
      </x:c>
      <x:c r="D23" s="74" t="n">
        <x:f>'Monthly_PnL'!H36</x:f>
        <x:v>6899.16832007799</x:v>
      </x:c>
      <x:c r="F23" s="19" t="str">
        <x:v>M7</x:v>
      </x:c>
      <x:c r="G23" s="74" t="n">
        <x:f>'Monthly_PnL'!H36</x:f>
        <x:v>6899.16832007799</x:v>
      </x:c>
    </x:row>
    <x:row r="24">
      <x:c r="A24" s="19" t="str">
        <x:v>M8</x:v>
      </x:c>
      <x:c r="B24" s="74" t="n">
        <x:f>'Monthly_PnL'!I20</x:f>
        <x:v>1135.358542053364</x:v>
      </x:c>
      <x:c r="C24" s="74" t="n">
        <x:f>'Monthly_PnL'!I33</x:f>
        <x:v>-283.50521234693224</x:v>
      </x:c>
      <x:c r="D24" s="74" t="n">
        <x:f>'Monthly_PnL'!I36</x:f>
        <x:v>6615.663107731058</x:v>
      </x:c>
      <x:c r="F24" s="19" t="str">
        <x:v>M8</x:v>
      </x:c>
      <x:c r="G24" s="74" t="n">
        <x:f>'Monthly_PnL'!I36</x:f>
        <x:v>6615.663107731058</x:v>
      </x:c>
    </x:row>
    <x:row r="25">
      <x:c r="A25" s="19" t="str">
        <x:v>M9</x:v>
      </x:c>
      <x:c r="B25" s="74" t="n">
        <x:f>'Monthly_PnL'!J20</x:f>
        <x:v>1330.0102266129713</x:v>
      </x:c>
      <x:c r="C25" s="74" t="n">
        <x:f>'Monthly_PnL'!J33</x:f>
        <x:v>-195.40612792233787</x:v>
      </x:c>
      <x:c r="D25" s="74" t="n">
        <x:f>'Monthly_PnL'!J36</x:f>
        <x:v>6420.25697980872</x:v>
      </x:c>
      <x:c r="F25" s="19" t="str">
        <x:v>M9</x:v>
      </x:c>
      <x:c r="G25" s="74" t="n">
        <x:f>'Monthly_PnL'!J36</x:f>
        <x:v>6420.25697980872</x:v>
      </x:c>
    </x:row>
    <x:row r="26">
      <x:c r="A26" s="19" t="str">
        <x:v>M10</x:v>
      </x:c>
      <x:c r="B26" s="74" t="n">
        <x:f>'Monthly_PnL'!K20</x:f>
        <x:v>1539.0386209967724</x:v>
      </x:c>
      <x:c r="C26" s="74" t="n">
        <x:f>'Monthly_PnL'!K33</x:f>
        <x:v>-99.85576543525201</x:v>
      </x:c>
      <x:c r="D26" s="74" t="n">
        <x:f>'Monthly_PnL'!K36</x:f>
        <x:v>6320.401214373468</x:v>
      </x:c>
      <x:c r="F26" s="19" t="str">
        <x:v>M10</x:v>
      </x:c>
      <x:c r="G26" s="74" t="n">
        <x:f>'Monthly_PnL'!K36</x:f>
        <x:v>6320.401214373468</x:v>
      </x:c>
    </x:row>
    <x:row r="27">
      <x:c r="A27" s="19" t="str">
        <x:v>M11</x:v>
      </x:c>
      <x:c r="B27" s="74" t="n">
        <x:f>'Monthly_PnL'!L20</x:f>
        <x:v>1763.5972002331673</x:v>
      </x:c>
      <x:c r="C27" s="74" t="n">
        <x:f>'Monthly_PnL'!L33</x:f>
        <x:v>3.676728875883896</x:v>
      </x:c>
      <x:c r="D27" s="74" t="n">
        <x:f>'Monthly_PnL'!L36</x:f>
        <x:v>6324.077943249352</x:v>
      </x:c>
      <x:c r="F27" s="19" t="str">
        <x:v>M11</x:v>
      </x:c>
      <x:c r="G27" s="74" t="n">
        <x:f>'Monthly_PnL'!L36</x:f>
        <x:v>6324.077943249352</x:v>
      </x:c>
    </x:row>
    <x:row r="28">
      <x:c r="A28" s="19" t="str">
        <x:v>M12</x:v>
      </x:c>
      <x:c r="B28" s="74" t="n">
        <x:f>'Monthly_PnL'!M20</x:f>
        <x:v>2004.9808441243476</x:v>
      </x:c>
      <x:c r="C28" s="74" t="n">
        <x:f>'Monthly_PnL'!M33</x:f>
        <x:v>115.80429038943248</x:v>
      </x:c>
      <x:c r="D28" s="74" t="n">
        <x:f>'Monthly_PnL'!M36</x:f>
        <x:v>6439.882233638784</x:v>
      </x:c>
      <x:c r="F28" s="19" t="str">
        <x:v>M12</x:v>
      </x:c>
      <x:c r="G28" s="74" t="n">
        <x:f>'Monthly_PnL'!M36</x:f>
        <x:v>6439.882233638784</x:v>
      </x:c>
    </x:row>
    <x:row r="34">
      <x:c r="A34" s="9" t="str">
        <x:v>Scaling interpretation</x:v>
      </x:c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10"/>
      <x:c r="M34" s="11"/>
    </x:row>
    <x:row r="35">
      <x:c r="A35" s="80" t="str">
        <x:v>Closed beta - Run now: prove activation, invite loops, RLS/sync reliability, Crashlytics, DR, App Links, and email fallback.</x:v>
      </x:c>
      <x:c r="B35" s="80"/>
      <x:c r="C35" s="80"/>
      <x:c r="D35" s="80"/>
      <x:c r="E35" s="80"/>
      <x:c r="F35" s="80"/>
      <x:c r="G35" s="80"/>
      <x:c r="H35" s="80"/>
      <x:c r="I35" s="80"/>
      <x:c r="J35" s="80"/>
      <x:c r="K35" s="80"/>
      <x:c r="L35" s="80"/>
      <x:c r="M35" s="80"/>
    </x:row>
    <x:row r="36">
      <x:c r="A36" s="81" t="str">
        <x:v>Controlled scaling - Start only after first scale-ready month or explicit strategic override; use small paid tests, not broad spend.</x:v>
      </x:c>
      <x:c r="B36" s="81"/>
      <x:c r="C36" s="81"/>
      <x:c r="D36" s="81"/>
      <x:c r="E36" s="81"/>
      <x:c r="F36" s="81"/>
      <x:c r="G36" s="81"/>
      <x:c r="H36" s="81"/>
      <x:c r="I36" s="81"/>
      <x:c r="J36" s="81"/>
      <x:c r="K36" s="81"/>
      <x:c r="L36" s="81"/>
      <x:c r="M36" s="81"/>
    </x:row>
    <x:row r="37">
      <x:c r="A37" s="81" t="str">
        <x:v>Media-heavy scaling - Do not widen unlimited photo/video promises until storagePath rehydration, object-byte backup, compression, and tier quotas are proven.</x:v>
      </x:c>
      <x:c r="B37" s="81"/>
      <x:c r="C37" s="81"/>
      <x:c r="D37" s="81"/>
      <x:c r="E37" s="81"/>
      <x:c r="F37" s="81"/>
      <x:c r="G37" s="81"/>
      <x:c r="H37" s="81"/>
      <x:c r="I37" s="81"/>
      <x:c r="J37" s="81"/>
      <x:c r="K37" s="81"/>
      <x:c r="L37" s="81"/>
      <x:c r="M37" s="81"/>
    </x:row>
    <x:row r="38">
      <x:c r="A38" s="81" t="str">
        <x:v>Hiring/contractors - Model currently assumes founder builds unpaid. Add contractor cost in Assumptions before committing spend.</x:v>
      </x:c>
      <x:c r="B38" s="81"/>
      <x:c r="C38" s="81"/>
      <x:c r="D38" s="81"/>
      <x:c r="E38" s="81"/>
      <x:c r="F38" s="81"/>
      <x:c r="G38" s="81"/>
      <x:c r="H38" s="81"/>
      <x:c r="I38" s="81"/>
      <x:c r="J38" s="81"/>
      <x:c r="K38" s="81"/>
      <x:c r="L38" s="81"/>
      <x:c r="M38" s="81"/>
    </x:row>
    <x:row r="39">
      <x:c r="A39" s="82" t="str">
        <x:v>Source of truth - For full 36-month economics and scenarios, use Vamo_Financial_Model.xlsx. This workbook is the 12-month P&amp;L operating view.</x:v>
      </x:c>
      <x:c r="B39" s="82"/>
      <x:c r="C39" s="82"/>
      <x:c r="D39" s="82"/>
      <x:c r="E39" s="82"/>
      <x:c r="F39" s="82"/>
      <x:c r="G39" s="82"/>
      <x:c r="H39" s="82"/>
      <x:c r="I39" s="82"/>
      <x:c r="J39" s="82"/>
      <x:c r="K39" s="82"/>
      <x:c r="L39" s="82"/>
      <x:c r="M39" s="82"/>
    </x:row>
  </x:sheetData>
  <x:mergeCells>
    <x:mergeCell ref="A1:M1"/>
    <x:mergeCell ref="A2:M2"/>
    <x:mergeCell ref="A34:M34"/>
    <x:mergeCell ref="A35:M35"/>
    <x:mergeCell ref="A36:M36"/>
    <x:mergeCell ref="A37:M37"/>
    <x:mergeCell ref="A38:M38"/>
    <x:mergeCell ref="A39:M39"/>
  </x:mergeCells>
  <x:pageMargins left="0.7" right="0.7" top="0.75" bottom="0.75" header="0.3" footer="0.3"/>
  <x:drawing xmlns:r="http://schemas.openxmlformats.org/officeDocument/2006/relationships" r:id="Rce6b24b3e69444f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52.5" hidden="0" customWidth="1"/>
  </x:cols>
  <x:sheetData>
    <x:row r="1">
      <x:c r="A1" s="2" t="str">
        <x:v>Vamo 12-month P&amp;L Projection - Assumptions</x:v>
      </x:c>
    </x:row>
    <x:row r="2">
      <x:c r="A2" s="5" t="str">
        <x:v>Blue cells are editable assumptions. Selected values mirror Vamo_Financial_Model.xlsx unless changed here.</x:v>
      </x:c>
    </x:row>
    <x:row r="4">
      <x:c r="A4" t="str">
        <x:v>Scenario</x:v>
      </x:c>
      <x:c r="B4" s="7" t="str">
        <x:v>Base</x:v>
      </x:c>
      <x:c r="C4"/>
      <x:c r="D4"/>
      <x:c r="E4"/>
      <x:c r="F4" t="str">
        <x:v>Choose Conservative / Base / Upside in B4</x:v>
      </x:c>
    </x:row>
    <x:row r="6">
      <x:c r="A6" s="9" t="str">
        <x:v>Assumption</x:v>
      </x:c>
      <x:c r="B6" s="10" t="str">
        <x:v>Conservative</x:v>
      </x:c>
      <x:c r="C6" s="10" t="str">
        <x:v>Base</x:v>
      </x:c>
      <x:c r="D6" s="10" t="str">
        <x:v>Upside</x:v>
      </x:c>
      <x:c r="E6" s="10" t="str">
        <x:v>Selected</x:v>
      </x:c>
      <x:c r="F6" s="11" t="str">
        <x:v>Unit / note</x:v>
      </x:c>
    </x:row>
    <x:row r="7">
      <x:c r="A7" s="16" t="str">
        <x:v>Organic installs, month 1</x:v>
      </x:c>
      <x:c r="B7" s="17" t="n">
        <x:v>700</x:v>
      </x:c>
      <x:c r="C7" s="17" t="n">
        <x:v>1300</x:v>
      </x:c>
      <x:c r="D7" s="17" t="n">
        <x:v>2200</x:v>
      </x:c>
      <x:c r="E7" s="18" t="n">
        <x:f>IF($B$4="Conservative",B7,IF($B$4="Base",C7,D7))</x:f>
        <x:v>1300</x:v>
      </x:c>
      <x:c r="F7" s="16" t="str">
        <x:v>installs/mo: ASO + any-trip + solo discovery</x:v>
      </x:c>
    </x:row>
    <x:row r="8">
      <x:c r="A8" s="19" t="str">
        <x:v>Organic MoM growth</x:v>
      </x:c>
      <x:c r="B8" s="22" t="n">
        <x:v>0.06</x:v>
      </x:c>
      <x:c r="C8" s="22" t="n">
        <x:v>0.09</x:v>
      </x:c>
      <x:c r="D8" s="22" t="n">
        <x:v>0.13</x:v>
      </x:c>
      <x:c r="E8" s="27" t="n">
        <x:f>IF($B$4="Conservative",B8,IF($B$4="Base",C8,D8))</x:f>
        <x:v>0.09</x:v>
      </x:c>
      <x:c r="F8" s="19" t="str">
        <x:v>month-over-month</x:v>
      </x:c>
    </x:row>
    <x:row r="9">
      <x:c r="A9" s="19" t="str">
        <x:v>Viral coefficient</x:v>
      </x:c>
      <x:c r="B9" s="22" t="n">
        <x:v>0.1</x:v>
      </x:c>
      <x:c r="C9" s="22" t="n">
        <x:v>0.14</x:v>
      </x:c>
      <x:c r="D9" s="22" t="n">
        <x:v>0.2</x:v>
      </x:c>
      <x:c r="E9" s="27" t="n">
        <x:f>IF($B$4="Conservative",B9,IF($B$4="Base",C9,D9))</x:f>
        <x:v>0.14</x:v>
      </x:c>
      <x:c r="F9" s="19" t="str">
        <x:v>new joiners / active / month</x:v>
      </x:c>
    </x:row>
    <x:row r="10">
      <x:c r="A10" s="19" t="str">
        <x:v>Activation rate</x:v>
      </x:c>
      <x:c r="B10" s="22" t="n">
        <x:v>0.55</x:v>
      </x:c>
      <x:c r="C10" s="22" t="n">
        <x:v>0.6</x:v>
      </x:c>
      <x:c r="D10" s="22" t="n">
        <x:v>0.65</x:v>
      </x:c>
      <x:c r="E10" s="27" t="n">
        <x:f>IF($B$4="Conservative",B10,IF($B$4="Base",C10,D10))</x:f>
        <x:v>0.6</x:v>
      </x:c>
      <x:c r="F10" s="19" t="str">
        <x:v>install -&gt; active member</x:v>
      </x:c>
    </x:row>
    <x:row r="11">
      <x:c r="A11" s="19" t="str">
        <x:v>Monthly dormancy</x:v>
      </x:c>
      <x:c r="B11" s="22" t="n">
        <x:v>0.2</x:v>
      </x:c>
      <x:c r="C11" s="22" t="n">
        <x:v>0.16</x:v>
      </x:c>
      <x:c r="D11" s="22" t="n">
        <x:v>0.13</x:v>
      </x:c>
      <x:c r="E11" s="27" t="n">
        <x:f>IF($B$4="Conservative",B11,IF($B$4="Base",C11,D11))</x:f>
        <x:v>0.16</x:v>
      </x:c>
      <x:c r="F11" s="19" t="str">
        <x:v>active base decay / month</x:v>
      </x:c>
    </x:row>
    <x:row r="12">
      <x:c r="A12" s="19" t="str">
        <x:v>Free -&gt; paid conversion</x:v>
      </x:c>
      <x:c r="B12" s="22" t="n">
        <x:v>0.018</x:v>
      </x:c>
      <x:c r="C12" s="22" t="n">
        <x:v>0.028</x:v>
      </x:c>
      <x:c r="D12" s="22" t="n">
        <x:v>0.042</x:v>
      </x:c>
      <x:c r="E12" s="27" t="n">
        <x:f>IF($B$4="Conservative",B12,IF($B$4="Base",C12,D12))</x:f>
        <x:v>0.028</x:v>
      </x:c>
      <x:c r="F12" s="19" t="str">
        <x:v>of installs</x:v>
      </x:c>
    </x:row>
    <x:row r="13">
      <x:c r="A13" s="19" t="str">
        <x:v>Monthly paying churn</x:v>
      </x:c>
      <x:c r="B13" s="22" t="n">
        <x:v>0.1</x:v>
      </x:c>
      <x:c r="C13" s="22" t="n">
        <x:v>0.08</x:v>
      </x:c>
      <x:c r="D13" s="22" t="n">
        <x:v>0.06</x:v>
      </x:c>
      <x:c r="E13" s="27" t="n">
        <x:f>IF($B$4="Conservative",B13,IF($B$4="Base",C13,D13))</x:f>
        <x:v>0.08</x:v>
      </x:c>
      <x:c r="F13" s="19" t="str">
        <x:v>consumer subscription churn</x:v>
      </x:c>
    </x:row>
    <x:row r="14">
      <x:c r="A14" s="19" t="str">
        <x:v>Voyager price ($/mo)</x:v>
      </x:c>
      <x:c r="B14" s="20" t="n">
        <x:v>4</x:v>
      </x:c>
      <x:c r="C14" s="20" t="n">
        <x:v>4</x:v>
      </x:c>
      <x:c r="D14" s="20" t="n">
        <x:v>4</x:v>
      </x:c>
      <x:c r="E14" s="21" t="n">
        <x:f>IF($B$4="Conservative",B14,IF($B$4="Base",C14,D14))</x:f>
        <x:v>4</x:v>
      </x:c>
      <x:c r="F14" s="19" t="str">
        <x:v>Voyager mid tier</x:v>
      </x:c>
    </x:row>
    <x:row r="15">
      <x:c r="A15" s="19" t="str">
        <x:v>Pioneer price ($/mo)</x:v>
      </x:c>
      <x:c r="B15" s="20" t="n">
        <x:v>11</x:v>
      </x:c>
      <x:c r="C15" s="20" t="n">
        <x:v>11</x:v>
      </x:c>
      <x:c r="D15" s="20" t="n">
        <x:v>11</x:v>
      </x:c>
      <x:c r="E15" s="21" t="n">
        <x:f>IF($B$4="Conservative",B15,IF($B$4="Base",C15,D15))</x:f>
        <x:v>11</x:v>
      </x:c>
      <x:c r="F15" s="19" t="str">
        <x:v>Pioneer top tier</x:v>
      </x:c>
    </x:row>
    <x:row r="16">
      <x:c r="A16" s="19" t="str">
        <x:v>Pioneer share of payers</x:v>
      </x:c>
      <x:c r="B16" s="20" t="n">
        <x:v>0.12</x:v>
      </x:c>
      <x:c r="C16" s="20" t="n">
        <x:v>0.2</x:v>
      </x:c>
      <x:c r="D16" s="20" t="n">
        <x:v>0.3</x:v>
      </x:c>
      <x:c r="E16" s="21" t="n">
        <x:f>IF($B$4="Conservative",B16,IF($B$4="Base",C16,D16))</x:f>
        <x:v>0.2</x:v>
      </x:c>
      <x:c r="F16" s="19" t="str">
        <x:v>mix of paying users</x:v>
      </x:c>
    </x:row>
    <x:row r="17">
      <x:c r="A17" s="19" t="str">
        <x:v>Voyager opex ($/mo)</x:v>
      </x:c>
      <x:c r="B17" s="20" t="n">
        <x:v>0.9</x:v>
      </x:c>
      <x:c r="C17" s="20" t="n">
        <x:v>0.9</x:v>
      </x:c>
      <x:c r="D17" s="20" t="n">
        <x:v>0.9</x:v>
      </x:c>
      <x:c r="E17" s="21" t="n">
        <x:f>IF($B$4="Conservative",B17,IF($B$4="Base",C17,D17))</x:f>
        <x:v>0.9</x:v>
      </x:c>
      <x:c r="F17" s="19" t="str">
        <x:v>render + storage + map per Voyager payer</x:v>
      </x:c>
    </x:row>
    <x:row r="18">
      <x:c r="A18" s="19" t="str">
        <x:v>Pioneer opex ($/mo)</x:v>
      </x:c>
      <x:c r="B18" s="20" t="n">
        <x:v>3.1</x:v>
      </x:c>
      <x:c r="C18" s="20" t="n">
        <x:v>3.1</x:v>
      </x:c>
      <x:c r="D18" s="20" t="n">
        <x:v>3.1</x:v>
      </x:c>
      <x:c r="E18" s="21" t="n">
        <x:f>IF($B$4="Conservative",B18,IF($B$4="Base",C18,D18))</x:f>
        <x:v>3.1</x:v>
      </x:c>
      <x:c r="F18" s="19" t="str">
        <x:v>action-cam storage + render per Pioneer payer</x:v>
      </x:c>
    </x:row>
    <x:row r="19">
      <x:c r="A19" s="19" t="str">
        <x:v>App store fee</x:v>
      </x:c>
      <x:c r="B19" s="20" t="n">
        <x:v>0.15</x:v>
      </x:c>
      <x:c r="C19" s="20" t="n">
        <x:v>0.15</x:v>
      </x:c>
      <x:c r="D19" s="20" t="n">
        <x:v>0.15</x:v>
      </x:c>
      <x:c r="E19" s="21" t="n">
        <x:f>IF($B$4="Conservative",B19,IF($B$4="Base",C19,D19))</x:f>
        <x:v>0.15</x:v>
      </x:c>
      <x:c r="F19" s="19" t="str">
        <x:v>Apple/Google small-business rate</x:v>
      </x:c>
    </x:row>
    <x:row r="20">
      <x:c r="A20" s="19" t="str">
        <x:v>Paid budget, month 1</x:v>
      </x:c>
      <x:c r="B20" s="23" t="n">
        <x:v>0</x:v>
      </x:c>
      <x:c r="C20" s="23" t="n">
        <x:v>250</x:v>
      </x:c>
      <x:c r="D20" s="23" t="n">
        <x:v>600</x:v>
      </x:c>
      <x:c r="E20" s="28" t="n">
        <x:f>IF($B$4="Conservative",B20,IF($B$4="Base",C20,D20))</x:f>
        <x:v>250</x:v>
      </x:c>
      <x:c r="F20" s="19" t="str">
        <x:v>$/mo paid UA</x:v>
      </x:c>
    </x:row>
    <x:row r="21">
      <x:c r="A21" s="19" t="str">
        <x:v>Paid budget MoM growth</x:v>
      </x:c>
      <x:c r="B21" s="23" t="n">
        <x:v>0.04</x:v>
      </x:c>
      <x:c r="C21" s="23" t="n">
        <x:v>0.05</x:v>
      </x:c>
      <x:c r="D21" s="23" t="n">
        <x:v>0.06</x:v>
      </x:c>
      <x:c r="E21" s="28" t="n">
        <x:f>IF($B$4="Conservative",B21,IF($B$4="Base",C21,D21))</x:f>
        <x:v>0.05</x:v>
      </x:c>
      <x:c r="F21" s="19" t="str">
        <x:v>month-over-month</x:v>
      </x:c>
    </x:row>
    <x:row r="22">
      <x:c r="A22" s="19" t="str">
        <x:v>Blended CPI</x:v>
      </x:c>
      <x:c r="B22" s="23" t="n">
        <x:v>4</x:v>
      </x:c>
      <x:c r="C22" s="23" t="n">
        <x:v>3.5</x:v>
      </x:c>
      <x:c r="D22" s="23" t="n">
        <x:v>3</x:v>
      </x:c>
      <x:c r="E22" s="28" t="n">
        <x:f>IF($B$4="Conservative",B22,IF($B$4="Base",C22,D22))</x:f>
        <x:v>3.5</x:v>
      </x:c>
      <x:c r="F22" s="19" t="str">
        <x:v>$ / install</x:v>
      </x:c>
    </x:row>
    <x:row r="23">
      <x:c r="A23" s="19" t="str">
        <x:v>Infra cost per MAU</x:v>
      </x:c>
      <x:c r="B23" s="24" t="n">
        <x:v>0.04</x:v>
      </x:c>
      <x:c r="C23" s="24" t="n">
        <x:v>0.03</x:v>
      </x:c>
      <x:c r="D23" s="24" t="n">
        <x:v>0.02</x:v>
      </x:c>
      <x:c r="E23" s="28" t="n">
        <x:f>IF($B$4="Conservative",B23,IF($B$4="Base",C23,D23))</x:f>
        <x:v>0.03</x:v>
      </x:c>
      <x:c r="F23" s="19" t="str">
        <x:v>$/MAU variable infra</x:v>
      </x:c>
    </x:row>
    <x:row r="24">
      <x:c r="A24" s="19" t="str">
        <x:v>Fixed tools / ops</x:v>
      </x:c>
      <x:c r="B24" s="23" t="n">
        <x:v>520</x:v>
      </x:c>
      <x:c r="C24" s="23" t="n">
        <x:v>520</x:v>
      </x:c>
      <x:c r="D24" s="23" t="n">
        <x:v>520</x:v>
      </x:c>
      <x:c r="E24" s="28" t="n">
        <x:f>IF($B$4="Conservative",B24,IF($B$4="Base",C24,D24))</x:f>
        <x:v>520</x:v>
      </x:c>
      <x:c r="F24" s="19" t="str">
        <x:v>$/mo tools + ops + AI dev stack</x:v>
      </x:c>
    </x:row>
    <x:row r="25">
      <x:c r="A25" s="19" t="str">
        <x:v>Contractor start month</x:v>
      </x:c>
      <x:c r="B25" s="20" t="n">
        <x:v>20</x:v>
      </x:c>
      <x:c r="C25" s="20" t="n">
        <x:v>16</x:v>
      </x:c>
      <x:c r="D25" s="20" t="n">
        <x:v>13</x:v>
      </x:c>
      <x:c r="E25" s="21" t="n">
        <x:f>IF($B$4="Conservative",B25,IF($B$4="Base",C25,D25))</x:f>
        <x:v>16</x:v>
      </x:c>
      <x:c r="F25" s="19" t="str">
        <x:v>paid help begins</x:v>
      </x:c>
    </x:row>
    <x:row r="26">
      <x:c r="A26" s="19" t="str">
        <x:v>Contractor cost</x:v>
      </x:c>
      <x:c r="B26" s="20" t="n">
        <x:v>0</x:v>
      </x:c>
      <x:c r="C26" s="20" t="n">
        <x:v>0</x:v>
      </x:c>
      <x:c r="D26" s="20" t="n">
        <x:v>0</x:v>
      </x:c>
      <x:c r="E26" s="21" t="n">
        <x:f>IF($B$4="Conservative",B26,IF($B$4="Base",C26,D26))</x:f>
        <x:v>0</x:v>
      </x:c>
      <x:c r="F26" s="19" t="str">
        <x:v>$/mo; founder builds unpaid</x:v>
      </x:c>
    </x:row>
    <x:row r="27">
      <x:c r="A27" s="19" t="str">
        <x:v>Starting capital ($)</x:v>
      </x:c>
      <x:c r="B27" s="23" t="n">
        <x:v>10800</x:v>
      </x:c>
      <x:c r="C27" s="23" t="n">
        <x:v>10800</x:v>
      </x:c>
      <x:c r="D27" s="23" t="n">
        <x:v>10800</x:v>
      </x:c>
      <x:c r="E27" s="28" t="n">
        <x:f>IF($B$4="Conservative",B27,IF($B$4="Base",C27,D27))</x:f>
        <x:v>10800</x:v>
      </x:c>
      <x:c r="F27" s="19" t="str">
        <x:v>founder's EUR 10k injection, approx.</x:v>
      </x:c>
    </x:row>
    <x:row r="28">
      <x:c r="A28" s="19" t="str">
        <x:v>Operator launch month</x:v>
      </x:c>
      <x:c r="B28" s="20" t="n">
        <x:v>9999</x:v>
      </x:c>
      <x:c r="C28" s="20" t="n">
        <x:v>20</x:v>
      </x:c>
      <x:c r="D28" s="20" t="n">
        <x:v>16</x:v>
      </x:c>
      <x:c r="E28" s="21" t="n">
        <x:f>IF($B$4="Conservative",B28,IF($B$4="Base",C28,D28))</x:f>
        <x:v>20</x:v>
      </x:c>
      <x:c r="F28" s="19" t="str">
        <x:v>post Wave-3 gate; 9999 = never</x:v>
      </x:c>
    </x:row>
    <x:row r="29">
      <x:c r="A29" s="19" t="str">
        <x:v>New operators / month</x:v>
      </x:c>
      <x:c r="B29" s="20" t="n">
        <x:v>0</x:v>
      </x:c>
      <x:c r="C29" s="20" t="n">
        <x:v>2</x:v>
      </x:c>
      <x:c r="D29" s="20" t="n">
        <x:v>5</x:v>
      </x:c>
      <x:c r="E29" s="21" t="n">
        <x:f>IF($B$4="Conservative",B29,IF($B$4="Base",C29,D29))</x:f>
        <x:v>2</x:v>
      </x:c>
      <x:c r="F29" s="19" t="str">
        <x:v>tour guides/operators onboarded monthly</x:v>
      </x:c>
    </x:row>
    <x:row r="30">
      <x:c r="A30" s="19" t="str">
        <x:v>Operator monthly churn</x:v>
      </x:c>
      <x:c r="B30" s="20" t="n">
        <x:v>0.03</x:v>
      </x:c>
      <x:c r="C30" s="20" t="n">
        <x:v>0.03</x:v>
      </x:c>
      <x:c r="D30" s="20" t="n">
        <x:v>0.02</x:v>
      </x:c>
      <x:c r="E30" s="21" t="n">
        <x:f>IF($B$4="Conservative",B30,IF($B$4="Base",C30,D30))</x:f>
        <x:v>0.03</x:v>
      </x:c>
      <x:c r="F30" s="19" t="str">
        <x:v>B2B churn</x:v>
      </x:c>
    </x:row>
    <x:row r="31">
      <x:c r="A31" s="19" t="str">
        <x:v>Revenue per operator ($/mo)</x:v>
      </x:c>
      <x:c r="B31" s="20" t="n">
        <x:v>0</x:v>
      </x:c>
      <x:c r="C31" s="20" t="n">
        <x:v>120</x:v>
      </x:c>
      <x:c r="D31" s="20" t="n">
        <x:v>180</x:v>
      </x:c>
      <x:c r="E31" s="21" t="n">
        <x:f>IF($B$4="Conservative",B31,IF($B$4="Base",C31,D31))</x:f>
        <x:v>120</x:v>
      </x:c>
      <x:c r="F31" s="19" t="str">
        <x:v>web billing, no app store fee</x:v>
      </x:c>
    </x:row>
    <x:row r="32">
      <x:c r="A32" s="19" t="str">
        <x:v>Operator opex ($/mo)</x:v>
      </x:c>
      <x:c r="B32" s="23" t="n">
        <x:v>0</x:v>
      </x:c>
      <x:c r="C32" s="23" t="n">
        <x:v>14</x:v>
      </x:c>
      <x:c r="D32" s="23" t="n">
        <x:v>18</x:v>
      </x:c>
      <x:c r="E32" s="28" t="n">
        <x:f>IF($B$4="Conservative",B32,IF($B$4="Base",C32,D32))</x:f>
        <x:v>14</x:v>
      </x:c>
      <x:c r="F32" s="19" t="str">
        <x:v>media/storage/support per operator</x:v>
      </x:c>
    </x:row>
    <x:row r="33">
      <x:c r="A33" s="19" t="str">
        <x:v>Gross margin hurdle for scaling</x:v>
      </x:c>
      <x:c r="B33" s="22" t="n">
        <x:v>0.7</x:v>
      </x:c>
      <x:c r="C33" s="22" t="n">
        <x:v>0.7</x:v>
      </x:c>
      <x:c r="D33" s="22" t="n">
        <x:v>0.7</x:v>
      </x:c>
      <x:c r="E33" s="27" t="n">
        <x:f>IF($B$4="Conservative",B33,IF($B$4="Base",C33,D33))</x:f>
        <x:v>0.7</x:v>
      </x:c>
      <x:c r="F33" s="19" t="str">
        <x:v>scale only if gross margin clears this</x:v>
      </x:c>
    </x:row>
    <x:row r="34">
      <x:c r="A34" s="19" t="str">
        <x:v>LTV:CAC hurdle</x:v>
      </x:c>
      <x:c r="B34" s="25" t="n">
        <x:v>3</x:v>
      </x:c>
      <x:c r="C34" s="25" t="n">
        <x:v>3</x:v>
      </x:c>
      <x:c r="D34" s="25" t="n">
        <x:v>3</x:v>
      </x:c>
      <x:c r="E34" s="29" t="n">
        <x:f>IF($B$4="Conservative",B34,IF($B$4="Base",C34,D34))</x:f>
        <x:v>3</x:v>
      </x:c>
      <x:c r="F34" s="19" t="str">
        <x:v>minimum attractive acquisition economics</x:v>
      </x:c>
    </x:row>
    <x:row r="35">
      <x:c r="A35" s="19" t="str">
        <x:v>CAC payback hurdle (months)</x:v>
      </x:c>
      <x:c r="B35" s="26" t="n">
        <x:v>12</x:v>
      </x:c>
      <x:c r="C35" s="26" t="n">
        <x:v>12</x:v>
      </x:c>
      <x:c r="D35" s="26" t="n">
        <x:v>12</x:v>
      </x:c>
      <x:c r="E35" s="30" t="n">
        <x:f>IF($B$4="Conservative",B35,IF($B$4="Base",C35,D35))</x:f>
        <x:v>12</x:v>
      </x:c>
      <x:c r="F35" s="19" t="str">
        <x:v>paid growth should pay back inside 12 months</x:v>
      </x:c>
    </x:row>
    <x:row r="36">
      <x:c r="A36" s="19" t="str">
        <x:v>EBITDA-positive streak (months)</x:v>
      </x:c>
      <x:c r="B36" s="26" t="n">
        <x:v>3</x:v>
      </x:c>
      <x:c r="C36" s="26" t="n">
        <x:v>3</x:v>
      </x:c>
      <x:c r="D36" s="26" t="n">
        <x:v>3</x:v>
      </x:c>
      <x:c r="E36" s="30" t="n">
        <x:f>IF($B$4="Conservative",B36,IF($B$4="Base",C36,D36))</x:f>
        <x:v>3</x:v>
      </x:c>
      <x:c r="F36" s="19" t="str">
        <x:v>minimum before controlled scaling</x:v>
      </x:c>
    </x:row>
    <x:row r="40">
      <x:c r="A40" s="9" t="str">
        <x:v>Derived metric</x:v>
      </x:c>
      <x:c r="B40" s="10" t="str">
        <x:v>Formula / value</x:v>
      </x:c>
      <x:c r="C40" s="10"/>
      <x:c r="D40" s="10"/>
      <x:c r="E40" s="10"/>
      <x:c r="F40" s="11" t="str">
        <x:v>Purpose</x:v>
      </x:c>
    </x:row>
    <x:row r="41">
      <x:c r="A41" t="str">
        <x:v>Blended gross ARPU ($/payer/mo)</x:v>
      </x:c>
      <x:c r="B41" s="33" t="n">
        <x:f>E14*(1-E16)+E15*E16</x:f>
        <x:v>5.4</x:v>
      </x:c>
      <x:c r="C41"/>
      <x:c r="D41"/>
      <x:c r="E41"/>
      <x:c r="F41" t="str">
        <x:v>price mix</x:v>
      </x:c>
    </x:row>
    <x:row r="42">
      <x:c r="A42" t="str">
        <x:v>Net subscription ARPU ($/payer/mo)</x:v>
      </x:c>
      <x:c r="B42" s="33" t="n">
        <x:f>B41*(1-E19)</x:f>
        <x:v>4.59</x:v>
      </x:c>
      <x:c r="C42"/>
      <x:c r="D42"/>
      <x:c r="E42"/>
      <x:c r="F42" t="str">
        <x:v>after app store fee</x:v>
      </x:c>
    </x:row>
    <x:row r="43">
      <x:c r="A43" t="str">
        <x:v>Blended tier opex ($/payer/mo)</x:v>
      </x:c>
      <x:c r="B43" s="33" t="n">
        <x:f>E17*(1-E16)+E18*E16</x:f>
        <x:v>1.3400000000000003</x:v>
      </x:c>
      <x:c r="C43"/>
      <x:c r="D43"/>
      <x:c r="E43"/>
      <x:c r="F43" t="str">
        <x:v>media/render/storage cost per payer</x:v>
      </x:c>
    </x:row>
    <x:row r="44">
      <x:c r="A44" t="str">
        <x:v>Monthly contribution / payer</x:v>
      </x:c>
      <x:c r="B44" s="33" t="n">
        <x:f>B42-B43</x:f>
        <x:v>3.2499999999999996</x:v>
      </x:c>
      <x:c r="C44"/>
      <x:c r="D44"/>
      <x:c r="E44"/>
      <x:c r="F44" t="str">
        <x:v>net ARPU less tier opex</x:v>
      </x:c>
    </x:row>
    <x:row r="45">
      <x:c r="A45" t="str">
        <x:v>Avg paying lifetime (months)</x:v>
      </x:c>
      <x:c r="B45" s="33" t="n">
        <x:f>1/E13</x:f>
        <x:v>12.5</x:v>
      </x:c>
      <x:c r="C45"/>
      <x:c r="D45"/>
      <x:c r="E45"/>
      <x:c r="F45" t="str">
        <x:v>churn-derived lifetime</x:v>
      </x:c>
    </x:row>
    <x:row r="46">
      <x:c r="A46" t="str">
        <x:v>Contribution LTV ($)</x:v>
      </x:c>
      <x:c r="B46" s="33" t="n">
        <x:f>B44*B45</x:f>
        <x:v>40.62499999999999</x:v>
      </x:c>
      <x:c r="C46"/>
      <x:c r="D46"/>
      <x:c r="E46"/>
      <x:c r="F46" t="str">
        <x:v>payer contribution lifetime value</x:v>
      </x:c>
    </x:row>
    <x:row r="47">
      <x:c r="A47" t="str">
        <x:v>Paid-only CAC ($)</x:v>
      </x:c>
      <x:c r="B47" s="33" t="n">
        <x:f>E22/E12</x:f>
        <x:v>125</x:v>
      </x:c>
      <x:c r="C47"/>
      <x:c r="D47"/>
      <x:c r="E47"/>
      <x:c r="F47" t="str">
        <x:v>CPI divided by conversion</x:v>
      </x:c>
    </x:row>
    <x:row r="48">
      <x:c r="A48" t="str">
        <x:v>LTV:CAC paid-only</x:v>
      </x:c>
      <x:c r="B48" s="34" t="n">
        <x:f>B46/B47</x:f>
        <x:v>0.32499999999999996</x:v>
      </x:c>
      <x:c r="C48"/>
      <x:c r="D48"/>
      <x:c r="E48"/>
      <x:c r="F48" t="str">
        <x:v>paid acquisition sanity check</x:v>
      </x:c>
    </x:row>
  </x:sheetData>
  <x:mergeCells>
    <x:mergeCell ref="A1:M1"/>
    <x:mergeCell ref="A2:M2"/>
  </x:mergeCells>
  <x:dataValidations count="1">
    <x:dataValidation type="list" sqref="B4">
      <x:formula1>"Conservative,Base,Upside"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</x:cols>
  <x:sheetData>
    <x:row r="1">
      <x:c r="A1" s="2" t="str">
        <x:v>Vamo 12-month P&amp;L Projection</x:v>
      </x:c>
    </x:row>
    <x:row r="2">
      <x:c r="A2" s="5" t="str">
        <x:v>Monthly model driven by Assumptions. Values are USD unless noted.</x:v>
      </x:c>
    </x:row>
    <x:row r="3">
      <x:c r="A3" s="9" t="str">
        <x:v>Metric</x:v>
      </x:c>
      <x:c r="B3" s="10" t="str">
        <x:v>Month 1</x:v>
      </x:c>
      <x:c r="C3" s="10" t="str">
        <x:v>Month 2</x:v>
      </x:c>
      <x:c r="D3" s="10" t="str">
        <x:v>Month 3</x:v>
      </x:c>
      <x:c r="E3" s="10" t="str">
        <x:v>Month 4</x:v>
      </x:c>
      <x:c r="F3" s="10" t="str">
        <x:v>Month 5</x:v>
      </x:c>
      <x:c r="G3" s="10" t="str">
        <x:v>Month 6</x:v>
      </x:c>
      <x:c r="H3" s="10" t="str">
        <x:v>Month 7</x:v>
      </x:c>
      <x:c r="I3" s="10" t="str">
        <x:v>Month 8</x:v>
      </x:c>
      <x:c r="J3" s="10" t="str">
        <x:v>Month 9</x:v>
      </x:c>
      <x:c r="K3" s="10" t="str">
        <x:v>Month 10</x:v>
      </x:c>
      <x:c r="L3" s="10" t="str">
        <x:v>Month 11</x:v>
      </x:c>
      <x:c r="M3" s="11" t="str">
        <x:v>Month 12</x:v>
      </x:c>
    </x:row>
    <x:row r="4">
      <x:c r="A4" s="35" t="str">
        <x:v>Month #</x:v>
      </x:c>
      <x:c r="B4" s="36" t="n">
        <x:v>1</x:v>
      </x:c>
      <x:c r="C4" s="36" t="n">
        <x:v>2</x:v>
      </x:c>
      <x:c r="D4" s="36" t="n">
        <x:v>3</x:v>
      </x:c>
      <x:c r="E4" s="36" t="n">
        <x:v>4</x:v>
      </x:c>
      <x:c r="F4" s="36" t="n">
        <x:v>5</x:v>
      </x:c>
      <x:c r="G4" s="36" t="n">
        <x:v>6</x:v>
      </x:c>
      <x:c r="H4" s="36" t="n">
        <x:v>7</x:v>
      </x:c>
      <x:c r="I4" s="36" t="n">
        <x:v>8</x:v>
      </x:c>
      <x:c r="J4" s="36" t="n">
        <x:v>9</x:v>
      </x:c>
      <x:c r="K4" s="36" t="n">
        <x:v>10</x:v>
      </x:c>
      <x:c r="L4" s="36" t="n">
        <x:v>11</x:v>
      </x:c>
      <x:c r="M4" s="37" t="n">
        <x:v>12</x:v>
      </x:c>
    </x:row>
    <x:row r="5">
      <x:c r="A5" s="35" t="str">
        <x:v>Paid marketing spend</x:v>
      </x:c>
      <x:c r="B5" s="71" t="n">
        <x:f>'Assumptions'!$E$20</x:f>
        <x:v>250</x:v>
      </x:c>
      <x:c r="C5" s="71" t="n">
        <x:f>B5*(1+'Assumptions'!$E$21)</x:f>
        <x:v>262.5</x:v>
      </x:c>
      <x:c r="D5" s="71" t="n">
        <x:f>C5*(1+'Assumptions'!$E$21)</x:f>
        <x:v>275.625</x:v>
      </x:c>
      <x:c r="E5" s="71" t="n">
        <x:f>D5*(1+'Assumptions'!$E$21)</x:f>
        <x:v>289.40625</x:v>
      </x:c>
      <x:c r="F5" s="71" t="n">
        <x:f>E5*(1+'Assumptions'!$E$21)</x:f>
        <x:v>303.87656250000003</x:v>
      </x:c>
      <x:c r="G5" s="71" t="n">
        <x:f>F5*(1+'Assumptions'!$E$21)</x:f>
        <x:v>319.0703906250001</x:v>
      </x:c>
      <x:c r="H5" s="71" t="n">
        <x:f>G5*(1+'Assumptions'!$E$21)</x:f>
        <x:v>335.0239101562501</x:v>
      </x:c>
      <x:c r="I5" s="71" t="n">
        <x:f>H5*(1+'Assumptions'!$E$21)</x:f>
        <x:v>351.7751056640626</x:v>
      </x:c>
      <x:c r="J5" s="71" t="n">
        <x:f>I5*(1+'Assumptions'!$E$21)</x:f>
        <x:v>369.3638609472658</x:v>
      </x:c>
      <x:c r="K5" s="71" t="n">
        <x:f>J5*(1+'Assumptions'!$E$21)</x:f>
        <x:v>387.83205399462906</x:v>
      </x:c>
      <x:c r="L5" s="71" t="n">
        <x:f>K5*(1+'Assumptions'!$E$21)</x:f>
        <x:v>407.22365669436056</x:v>
      </x:c>
      <x:c r="M5" s="71" t="n">
        <x:f>L5*(1+'Assumptions'!$E$21)</x:f>
        <x:v>427.5848395290786</x:v>
      </x:c>
    </x:row>
    <x:row r="6">
      <x:c r="A6" s="35" t="str">
        <x:v>Paid installs</x:v>
      </x:c>
      <x:c r="B6" s="71" t="n">
        <x:f>B5/'Assumptions'!$E$22</x:f>
        <x:v>71.42857142857143</x:v>
      </x:c>
      <x:c r="C6" s="71" t="n">
        <x:f>C5/'Assumptions'!$E$22</x:f>
        <x:v>75</x:v>
      </x:c>
      <x:c r="D6" s="71" t="n">
        <x:f>D5/'Assumptions'!$E$22</x:f>
        <x:v>78.75</x:v>
      </x:c>
      <x:c r="E6" s="71" t="n">
        <x:f>E5/'Assumptions'!$E$22</x:f>
        <x:v>82.6875</x:v>
      </x:c>
      <x:c r="F6" s="71" t="n">
        <x:f>F5/'Assumptions'!$E$22</x:f>
        <x:v>86.821875</x:v>
      </x:c>
      <x:c r="G6" s="71" t="n">
        <x:f>G5/'Assumptions'!$E$22</x:f>
        <x:v>91.16296875000002</x:v>
      </x:c>
      <x:c r="H6" s="71" t="n">
        <x:f>H5/'Assumptions'!$E$22</x:f>
        <x:v>95.72111718750003</x:v>
      </x:c>
      <x:c r="I6" s="71" t="n">
        <x:f>I5/'Assumptions'!$E$22</x:f>
        <x:v>100.50717304687502</x:v>
      </x:c>
      <x:c r="J6" s="71" t="n">
        <x:f>J5/'Assumptions'!$E$22</x:f>
        <x:v>105.5325316992188</x:v>
      </x:c>
      <x:c r="K6" s="71" t="n">
        <x:f>K5/'Assumptions'!$E$22</x:f>
        <x:v>110.80915828417973</x:v>
      </x:c>
      <x:c r="L6" s="71" t="n">
        <x:f>L5/'Assumptions'!$E$22</x:f>
        <x:v>116.34961619838873</x:v>
      </x:c>
      <x:c r="M6" s="71" t="n">
        <x:f>M5/'Assumptions'!$E$22</x:f>
        <x:v>122.16709700830816</x:v>
      </x:c>
    </x:row>
    <x:row r="7">
      <x:c r="A7" s="35" t="str">
        <x:v>Organic installs</x:v>
      </x:c>
      <x:c r="B7" s="71" t="n">
        <x:f>'Assumptions'!$E$7*(1+'Assumptions'!$E$8)^(B$4-1)</x:f>
        <x:v>1300</x:v>
      </x:c>
      <x:c r="C7" s="71" t="n">
        <x:f>'Assumptions'!$E$7*(1+'Assumptions'!$E$8)^(C$4-1)</x:f>
        <x:v>1417</x:v>
      </x:c>
      <x:c r="D7" s="71" t="n">
        <x:f>'Assumptions'!$E$7*(1+'Assumptions'!$E$8)^(D$4-1)</x:f>
        <x:v>1544.5300000000002</x:v>
      </x:c>
      <x:c r="E7" s="71" t="n">
        <x:f>'Assumptions'!$E$7*(1+'Assumptions'!$E$8)^(E$4-1)</x:f>
        <x:v>1683.5377000000003</x:v>
      </x:c>
      <x:c r="F7" s="71" t="n">
        <x:f>'Assumptions'!$E$7*(1+'Assumptions'!$E$8)^(F$4-1)</x:f>
        <x:v>1835.0560930000006</x:v>
      </x:c>
      <x:c r="G7" s="71" t="n">
        <x:f>'Assumptions'!$E$7*(1+'Assumptions'!$E$8)^(G$4-1)</x:f>
        <x:v>2000.2111413700006</x:v>
      </x:c>
      <x:c r="H7" s="71" t="n">
        <x:f>'Assumptions'!$E$7*(1+'Assumptions'!$E$8)^(H$4-1)</x:f>
        <x:v>2180.2301440933006</x:v>
      </x:c>
      <x:c r="I7" s="71" t="n">
        <x:f>'Assumptions'!$E$7*(1+'Assumptions'!$E$8)^(I$4-1)</x:f>
        <x:v>2376.450857061698</x:v>
      </x:c>
      <x:c r="J7" s="71" t="n">
        <x:f>'Assumptions'!$E$7*(1+'Assumptions'!$E$8)^(J$4-1)</x:f>
        <x:v>2590.3314341972514</x:v>
      </x:c>
      <x:c r="K7" s="71" t="n">
        <x:f>'Assumptions'!$E$7*(1+'Assumptions'!$E$8)^(K$4-1)</x:f>
        <x:v>2823.461263275004</x:v>
      </x:c>
      <x:c r="L7" s="71" t="n">
        <x:f>'Assumptions'!$E$7*(1+'Assumptions'!$E$8)^(L$4-1)</x:f>
        <x:v>3077.572776969755</x:v>
      </x:c>
      <x:c r="M7" s="71" t="n">
        <x:f>'Assumptions'!$E$7*(1+'Assumptions'!$E$8)^(M$4-1)</x:f>
        <x:v>3354.5543268970328</x:v>
      </x:c>
    </x:row>
    <x:row r="8">
      <x:c r="A8" s="35" t="str">
        <x:v>Viral installs</x:v>
      </x:c>
      <x:c r="B8" s="71" t="n">
        <x:f>0</x:f>
        <x:v>0</x:v>
      </x:c>
      <x:c r="C8" s="71" t="n">
        <x:f>B11*'Assumptions'!$E$9</x:f>
        <x:v>115.2</x:v>
      </x:c>
      <x:c r="D8" s="71" t="n">
        <x:f>C11*'Assumptions'!$E$9</x:f>
        <x:v>231.77280000000002</x:v>
      </x:c>
      <x:c r="E8" s="71" t="n">
        <x:f>D11*'Assumptions'!$E$9</x:f>
        <x:v>350.5135872000001</x:v>
      </x:c>
      <x:c r="F8" s="71" t="n">
        <x:f>E11*'Assumptions'!$E$9</x:f>
        <x:v>472.2374713728001</x:v>
      </x:c>
      <x:c r="G8" s="71" t="n">
        <x:f>F11*'Assumptions'!$E$9</x:f>
        <x:v>597.7851728604674</x:v>
      </x:c>
      <x:c r="H8" s="71" t="n">
        <x:f>G11*'Assumptions'!$E$9</x:f>
        <x:v>728.0289249731518</x:v>
      </x:c>
      <x:c r="I8" s="71" t="n">
        <x:f>H11*'Assumptions'!$E$9</x:f>
        <x:v>863.8786326227795</x:v>
      </x:c>
      <x:c r="J8" s="71" t="n">
        <x:f>I11*'Assumptions'!$E$9</x:f>
        <x:v>1006.2883310725683</x:v>
      </x:c>
      <x:c r="K8" s="71" t="n">
        <x:f>J11*'Assumptions'!$E$9</x:f>
        <x:v>1156.2629910463565</x:v>
      </x:c>
      <x:c r="L8" s="71" t="n">
        <x:f>K11*'Assumptions'!$E$9</x:f>
        <x:v>1314.865719137805</x:v>
      </x:c>
      <x:c r="M8" s="71" t="n">
        <x:f>L11*'Assumptions'!$E$9</x:f>
        <x:v>1483.225405509456</x:v>
      </x:c>
    </x:row>
    <x:row r="9">
      <x:c r="A9" s="35" t="str">
        <x:v>New installs</x:v>
      </x:c>
      <x:c r="B9" s="71" t="n">
        <x:f>SUM(B6:B8)</x:f>
        <x:v>1371.4285714285713</x:v>
      </x:c>
      <x:c r="C9" s="71" t="n">
        <x:f>SUM(C6:C8)</x:f>
        <x:v>1607.2</x:v>
      </x:c>
      <x:c r="D9" s="71" t="n">
        <x:f>SUM(D6:D8)</x:f>
        <x:v>1855.0528000000002</x:v>
      </x:c>
      <x:c r="E9" s="71" t="n">
        <x:f>SUM(E6:E8)</x:f>
        <x:v>2116.7387872000004</x:v>
      </x:c>
      <x:c r="F9" s="71" t="n">
        <x:f>SUM(F6:F8)</x:f>
        <x:v>2394.1154393728007</x:v>
      </x:c>
      <x:c r="G9" s="71" t="n">
        <x:f>SUM(G6:G8)</x:f>
        <x:v>2689.159282980468</x:v>
      </x:c>
      <x:c r="H9" s="71" t="n">
        <x:f>SUM(H6:H8)</x:f>
        <x:v>3003.9801862539525</x:v>
      </x:c>
      <x:c r="I9" s="71" t="n">
        <x:f>SUM(I6:I8)</x:f>
        <x:v>3340.8366627313526</x:v>
      </x:c>
      <x:c r="J9" s="71" t="n">
        <x:f>SUM(J6:J8)</x:f>
        <x:v>3702.1522969690386</x:v>
      </x:c>
      <x:c r="K9" s="71" t="n">
        <x:f>SUM(K6:K8)</x:f>
        <x:v>4090.5334126055404</x:v>
      </x:c>
      <x:c r="L9" s="71" t="n">
        <x:f>SUM(L6:L8)</x:f>
        <x:v>4508.788112305949</x:v>
      </x:c>
      <x:c r="M9" s="71" t="n">
        <x:f>SUM(M6:M8)</x:f>
        <x:v>4959.946829414797</x:v>
      </x:c>
    </x:row>
    <x:row r="10">
      <x:c r="A10" s="35" t="str">
        <x:v>New actives</x:v>
      </x:c>
      <x:c r="B10" s="71" t="n">
        <x:f>B9*'Assumptions'!$E$10</x:f>
        <x:v>822.8571428571428</x:v>
      </x:c>
      <x:c r="C10" s="71" t="n">
        <x:f>C9*'Assumptions'!$E$10</x:f>
        <x:v>964.3199999999999</x:v>
      </x:c>
      <x:c r="D10" s="71" t="n">
        <x:f>D9*'Assumptions'!$E$10</x:f>
        <x:v>1113.03168</x:v>
      </x:c>
      <x:c r="E10" s="71" t="n">
        <x:f>E9*'Assumptions'!$E$10</x:f>
        <x:v>1270.0432723200001</x:v>
      </x:c>
      <x:c r="F10" s="71" t="n">
        <x:f>F9*'Assumptions'!$E$10</x:f>
        <x:v>1436.4692636236803</x:v>
      </x:c>
      <x:c r="G10" s="71" t="n">
        <x:f>G9*'Assumptions'!$E$10</x:f>
        <x:v>1613.4955697882808</x:v>
      </x:c>
      <x:c r="H10" s="71" t="n">
        <x:f>H9*'Assumptions'!$E$10</x:f>
        <x:v>1802.3881117523715</x:v>
      </x:c>
      <x:c r="I10" s="71" t="n">
        <x:f>I9*'Assumptions'!$E$10</x:f>
        <x:v>2004.5019976388114</x:v>
      </x:c>
      <x:c r="J10" s="71" t="n">
        <x:f>J9*'Assumptions'!$E$10</x:f>
        <x:v>2221.291378181423</x:v>
      </x:c>
      <x:c r="K10" s="71" t="n">
        <x:f>K9*'Assumptions'!$E$10</x:f>
        <x:v>2454.3200475633244</x:v>
      </x:c>
      <x:c r="L10" s="71" t="n">
        <x:f>L9*'Assumptions'!$E$10</x:f>
        <x:v>2705.272867383569</x:v>
      </x:c>
      <x:c r="M10" s="71" t="n">
        <x:f>M9*'Assumptions'!$E$10</x:f>
        <x:v>2975.9680976488785</x:v>
      </x:c>
    </x:row>
    <x:row r="11">
      <x:c r="A11" s="35" t="str">
        <x:v>MAU</x:v>
      </x:c>
      <x:c r="B11" s="71" t="n">
        <x:f>B10</x:f>
        <x:v>822.8571428571428</x:v>
      </x:c>
      <x:c r="C11" s="71" t="n">
        <x:f>B11*(1-'Assumptions'!$E$11)+C10</x:f>
        <x:v>1655.52</x:v>
      </x:c>
      <x:c r="D11" s="71" t="n">
        <x:f>C11*(1-'Assumptions'!$E$11)+D10</x:f>
        <x:v>2503.6684800000003</x:v>
      </x:c>
      <x:c r="E11" s="71" t="n">
        <x:f>D11*(1-'Assumptions'!$E$11)+E10</x:f>
        <x:v>3373.12479552</x:v>
      </x:c>
      <x:c r="F11" s="71" t="n">
        <x:f>E11*(1-'Assumptions'!$E$11)+F10</x:f>
        <x:v>4269.89409186048</x:v>
      </x:c>
      <x:c r="G11" s="71" t="n">
        <x:f>F11*(1-'Assumptions'!$E$11)+G10</x:f>
        <x:v>5200.206606951084</x:v>
      </x:c>
      <x:c r="H11" s="71" t="n">
        <x:f>G11*(1-'Assumptions'!$E$11)+H10</x:f>
        <x:v>6170.561661591281</x:v>
      </x:c>
      <x:c r="I11" s="71" t="n">
        <x:f>H11*(1-'Assumptions'!$E$11)+I10</x:f>
        <x:v>7187.773793375487</x:v>
      </x:c>
      <x:c r="J11" s="71" t="n">
        <x:f>I11*(1-'Assumptions'!$E$11)+J10</x:f>
        <x:v>8259.021364616832</x:v>
      </x:c>
      <x:c r="K11" s="71" t="n">
        <x:f>J11*(1-'Assumptions'!$E$11)+K10</x:f>
        <x:v>9391.897993841463</x:v>
      </x:c>
      <x:c r="L11" s="71" t="n">
        <x:f>K11*(1-'Assumptions'!$E$11)+L10</x:f>
        <x:v>10594.4671822104</x:v>
      </x:c>
      <x:c r="M11" s="71" t="n">
        <x:f>L11*(1-'Assumptions'!$E$11)+M10</x:f>
        <x:v>11875.320530705612</x:v>
      </x:c>
    </x:row>
    <x:row r="12">
      <x:c r="A12" s="35" t="str">
        <x:v>New paying users</x:v>
      </x:c>
      <x:c r="B12" s="71" t="n">
        <x:f>B10*'Assumptions'!$E$12</x:f>
        <x:v>23.04</x:v>
      </x:c>
      <x:c r="C12" s="71" t="n">
        <x:f>C10*'Assumptions'!$E$12</x:f>
        <x:v>27.00096</x:v>
      </x:c>
      <x:c r="D12" s="71" t="n">
        <x:f>D10*'Assumptions'!$E$12</x:f>
        <x:v>31.164887040000004</x:v>
      </x:c>
      <x:c r="E12" s="71" t="n">
        <x:f>E10*'Assumptions'!$E$12</x:f>
        <x:v>35.56121162496</x:v>
      </x:c>
      <x:c r="F12" s="71" t="n">
        <x:f>F10*'Assumptions'!$E$12</x:f>
        <x:v>40.22113938146305</x:v>
      </x:c>
      <x:c r="G12" s="71" t="n">
        <x:f>G10*'Assumptions'!$E$12</x:f>
        <x:v>45.177875954071865</x:v>
      </x:c>
      <x:c r="H12" s="71" t="n">
        <x:f>H10*'Assumptions'!$E$12</x:f>
        <x:v>50.4668671290664</x:v>
      </x:c>
      <x:c r="I12" s="71" t="n">
        <x:f>I10*'Assumptions'!$E$12</x:f>
        <x:v>56.12605593388672</x:v>
      </x:c>
      <x:c r="J12" s="71" t="n">
        <x:f>J10*'Assumptions'!$E$12</x:f>
        <x:v>62.19615858907985</x:v>
      </x:c>
      <x:c r="K12" s="71" t="n">
        <x:f>K10*'Assumptions'!$E$12</x:f>
        <x:v>68.72096133177308</x:v>
      </x:c>
      <x:c r="L12" s="71" t="n">
        <x:f>L10*'Assumptions'!$E$12</x:f>
        <x:v>75.74764028673994</x:v>
      </x:c>
      <x:c r="M12" s="71" t="n">
        <x:f>M10*'Assumptions'!$E$12</x:f>
        <x:v>83.3271067341686</x:v>
      </x:c>
    </x:row>
    <x:row r="13">
      <x:c r="A13" s="35" t="str">
        <x:v>Paying users</x:v>
      </x:c>
      <x:c r="B13" s="71" t="n">
        <x:f>B12</x:f>
        <x:v>23.04</x:v>
      </x:c>
      <x:c r="C13" s="71" t="n">
        <x:f>B13*(1-'Assumptions'!$E$13)+C12</x:f>
        <x:v>48.19776</x:v>
      </x:c>
      <x:c r="D13" s="71" t="n">
        <x:f>C13*(1-'Assumptions'!$E$13)+D12</x:f>
        <x:v>75.50682624000001</x:v>
      </x:c>
      <x:c r="E13" s="71" t="n">
        <x:f>D13*(1-'Assumptions'!$E$13)+E12</x:f>
        <x:v>105.02749176576</x:v>
      </x:c>
      <x:c r="F13" s="71" t="n">
        <x:f>E13*(1-'Assumptions'!$E$13)+F12</x:f>
        <x:v>136.84643180596225</x:v>
      </x:c>
      <x:c r="G13" s="71" t="n">
        <x:f>F13*(1-'Assumptions'!$E$13)+G12</x:f>
        <x:v>171.07659321555712</x:v>
      </x:c>
      <x:c r="H13" s="71" t="n">
        <x:f>G13*(1-'Assumptions'!$E$13)+H12</x:f>
        <x:v>207.85733288737896</x:v>
      </x:c>
      <x:c r="I13" s="71" t="n">
        <x:f>H13*(1-'Assumptions'!$E$13)+I12</x:f>
        <x:v>247.3548021902754</x:v>
      </x:c>
      <x:c r="J13" s="71" t="n">
        <x:f>I13*(1-'Assumptions'!$E$13)+J12</x:f>
        <x:v>289.7625766041332</x:v>
      </x:c>
      <x:c r="K13" s="71" t="n">
        <x:f>J13*(1-'Assumptions'!$E$13)+K12</x:f>
        <x:v>335.30253180757563</x:v>
      </x:c>
      <x:c r="L13" s="71" t="n">
        <x:f>K13*(1-'Assumptions'!$E$13)+L12</x:f>
        <x:v>384.2259695497096</x:v>
      </x:c>
      <x:c r="M13" s="71" t="n">
        <x:f>L13*(1-'Assumptions'!$E$13)+M12</x:f>
        <x:v>436.81499871990144</x:v>
      </x:c>
    </x:row>
    <x:row r="14">
      <x:c r="A14" s="35" t="str">
        <x:v>Operators</x:v>
      </x:c>
      <x:c r="B14" s="71" t="n">
        <x:f>IF(B$4&gt;='Assumptions'!$E$28,'Assumptions'!$E$29,0)</x:f>
        <x:v>0</x:v>
      </x:c>
      <x:c r="C14" s="71" t="n">
        <x:f>IF(C$4&lt;'Assumptions'!$E$28,0,B14*(1-'Assumptions'!$E$30)+'Assumptions'!$E$29)</x:f>
        <x:v>0</x:v>
      </x:c>
      <x:c r="D14" s="71" t="n">
        <x:f>IF(D$4&lt;'Assumptions'!$E$28,0,C14*(1-'Assumptions'!$E$30)+'Assumptions'!$E$29)</x:f>
        <x:v>0</x:v>
      </x:c>
      <x:c r="E14" s="71" t="n">
        <x:f>IF(E$4&lt;'Assumptions'!$E$28,0,D14*(1-'Assumptions'!$E$30)+'Assumptions'!$E$29)</x:f>
        <x:v>0</x:v>
      </x:c>
      <x:c r="F14" s="71" t="n">
        <x:f>IF(F$4&lt;'Assumptions'!$E$28,0,E14*(1-'Assumptions'!$E$30)+'Assumptions'!$E$29)</x:f>
        <x:v>0</x:v>
      </x:c>
      <x:c r="G14" s="71" t="n">
        <x:f>IF(G$4&lt;'Assumptions'!$E$28,0,F14*(1-'Assumptions'!$E$30)+'Assumptions'!$E$29)</x:f>
        <x:v>0</x:v>
      </x:c>
      <x:c r="H14" s="71" t="n">
        <x:f>IF(H$4&lt;'Assumptions'!$E$28,0,G14*(1-'Assumptions'!$E$30)+'Assumptions'!$E$29)</x:f>
        <x:v>0</x:v>
      </x:c>
      <x:c r="I14" s="71" t="n">
        <x:f>IF(I$4&lt;'Assumptions'!$E$28,0,H14*(1-'Assumptions'!$E$30)+'Assumptions'!$E$29)</x:f>
        <x:v>0</x:v>
      </x:c>
      <x:c r="J14" s="71" t="n">
        <x:f>IF(J$4&lt;'Assumptions'!$E$28,0,I14*(1-'Assumptions'!$E$30)+'Assumptions'!$E$29)</x:f>
        <x:v>0</x:v>
      </x:c>
      <x:c r="K14" s="71" t="n">
        <x:f>IF(K$4&lt;'Assumptions'!$E$28,0,J14*(1-'Assumptions'!$E$30)+'Assumptions'!$E$29)</x:f>
        <x:v>0</x:v>
      </x:c>
      <x:c r="L14" s="71" t="n">
        <x:f>IF(L$4&lt;'Assumptions'!$E$28,0,K14*(1-'Assumptions'!$E$30)+'Assumptions'!$E$29)</x:f>
        <x:v>0</x:v>
      </x:c>
      <x:c r="M14" s="71" t="n">
        <x:f>IF(M$4&lt;'Assumptions'!$E$28,0,L14*(1-'Assumptions'!$E$30)+'Assumptions'!$E$29)</x:f>
        <x:v>0</x:v>
      </x:c>
    </x:row>
    <x:row r="15">
      <x:c r="A15" s="72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</x:row>
    <x:row r="16">
      <x:c r="A16" s="35" t="str">
        <x:v>Gross subscription revenue</x:v>
      </x:c>
      <x:c r="B16" s="73" t="n">
        <x:f>B13*'Assumptions'!$B$41</x:f>
        <x:v>124.416</x:v>
      </x:c>
      <x:c r="C16" s="73" t="n">
        <x:f>C13*'Assumptions'!$B$41</x:f>
        <x:v>260.26790400000004</x:v>
      </x:c>
      <x:c r="D16" s="73" t="n">
        <x:f>D13*'Assumptions'!$B$41</x:f>
        <x:v>407.73686169600006</x:v>
      </x:c>
      <x:c r="E16" s="73" t="n">
        <x:f>E13*'Assumptions'!$B$41</x:f>
        <x:v>567.1484555351041</x:v>
      </x:c>
      <x:c r="F16" s="73" t="n">
        <x:f>F13*'Assumptions'!$B$41</x:f>
        <x:v>738.9707317521962</x:v>
      </x:c>
      <x:c r="G16" s="73" t="n">
        <x:f>G13*'Assumptions'!$B$41</x:f>
        <x:v>923.8136033640085</x:v>
      </x:c>
      <x:c r="H16" s="73" t="n">
        <x:f>H13*'Assumptions'!$B$41</x:f>
        <x:v>1122.4295975918465</x:v>
      </x:c>
      <x:c r="I16" s="73" t="n">
        <x:f>I13*'Assumptions'!$B$41</x:f>
        <x:v>1335.715931827487</x:v>
      </x:c>
      <x:c r="J16" s="73" t="n">
        <x:f>J13*'Assumptions'!$B$41</x:f>
        <x:v>1564.7179136623192</x:v>
      </x:c>
      <x:c r="K16" s="73" t="n">
        <x:f>K13*'Assumptions'!$B$41</x:f>
        <x:v>1810.6336717609086</x:v>
      </x:c>
      <x:c r="L16" s="73" t="n">
        <x:f>L13*'Assumptions'!$B$41</x:f>
        <x:v>2074.820235568432</x:v>
      </x:c>
      <x:c r="M16" s="73" t="n">
        <x:f>M13*'Assumptions'!$B$41</x:f>
        <x:v>2358.8009930874678</x:v>
      </x:c>
    </x:row>
    <x:row r="17">
      <x:c r="A17" s="35" t="str">
        <x:v>App store fees</x:v>
      </x:c>
      <x:c r="B17" s="73" t="n">
        <x:f>-B16*'Assumptions'!$E$19</x:f>
        <x:v>-18.662399999999998</x:v>
      </x:c>
      <x:c r="C17" s="73" t="n">
        <x:f>-C16*'Assumptions'!$E$19</x:f>
        <x:v>-39.04018560000001</x:v>
      </x:c>
      <x:c r="D17" s="73" t="n">
        <x:f>-D16*'Assumptions'!$E$19</x:f>
        <x:v>-61.160529254400004</x:v>
      </x:c>
      <x:c r="E17" s="73" t="n">
        <x:f>-E16*'Assumptions'!$E$19</x:f>
        <x:v>-85.0722683302656</x:v>
      </x:c>
      <x:c r="F17" s="73" t="n">
        <x:f>-F16*'Assumptions'!$E$19</x:f>
        <x:v>-110.84560976282943</x:v>
      </x:c>
      <x:c r="G17" s="73" t="n">
        <x:f>-G16*'Assumptions'!$E$19</x:f>
        <x:v>-138.57204050460126</x:v>
      </x:c>
      <x:c r="H17" s="73" t="n">
        <x:f>-H16*'Assumptions'!$E$19</x:f>
        <x:v>-168.36443963877696</x:v>
      </x:c>
      <x:c r="I17" s="73" t="n">
        <x:f>-I16*'Assumptions'!$E$19</x:f>
        <x:v>-200.35738977412305</x:v>
      </x:c>
      <x:c r="J17" s="73" t="n">
        <x:f>-J16*'Assumptions'!$E$19</x:f>
        <x:v>-234.70768704934787</x:v>
      </x:c>
      <x:c r="K17" s="73" t="n">
        <x:f>-K16*'Assumptions'!$E$19</x:f>
        <x:v>-271.59505076413626</x:v>
      </x:c>
      <x:c r="L17" s="73" t="n">
        <x:f>-L16*'Assumptions'!$E$19</x:f>
        <x:v>-311.2230353352648</x:v>
      </x:c>
      <x:c r="M17" s="73" t="n">
        <x:f>-M16*'Assumptions'!$E$19</x:f>
        <x:v>-353.8201489631202</x:v>
      </x:c>
    </x:row>
    <x:row r="18">
      <x:c r="A18" s="35" t="str">
        <x:v>Net subscription revenue</x:v>
      </x:c>
      <x:c r="B18" s="73" t="n">
        <x:f>B16+B17</x:f>
        <x:v>105.7536</x:v>
      </x:c>
      <x:c r="C18" s="73" t="n">
        <x:f>C16+C17</x:f>
        <x:v>221.22771840000004</x:v>
      </x:c>
      <x:c r="D18" s="73" t="n">
        <x:f>D16+D17</x:f>
        <x:v>346.5763324416001</x:v>
      </x:c>
      <x:c r="E18" s="73" t="n">
        <x:f>E16+E17</x:f>
        <x:v>482.07618720483845</x:v>
      </x:c>
      <x:c r="F18" s="73" t="n">
        <x:f>F16+F17</x:f>
        <x:v>628.1251219893668</x:v>
      </x:c>
      <x:c r="G18" s="73" t="n">
        <x:f>G16+G17</x:f>
        <x:v>785.2415628594072</x:v>
      </x:c>
      <x:c r="H18" s="73" t="n">
        <x:f>H16+H17</x:f>
        <x:v>954.0651579530695</x:v>
      </x:c>
      <x:c r="I18" s="73" t="n">
        <x:f>I16+I17</x:f>
        <x:v>1135.358542053364</x:v>
      </x:c>
      <x:c r="J18" s="73" t="n">
        <x:f>J16+J17</x:f>
        <x:v>1330.0102266129713</x:v>
      </x:c>
      <x:c r="K18" s="73" t="n">
        <x:f>K16+K17</x:f>
        <x:v>1539.0386209967724</x:v>
      </x:c>
      <x:c r="L18" s="73" t="n">
        <x:f>L16+L17</x:f>
        <x:v>1763.5972002331673</x:v>
      </x:c>
      <x:c r="M18" s="73" t="n">
        <x:f>M16+M17</x:f>
        <x:v>2004.9808441243476</x:v>
      </x:c>
    </x:row>
    <x:row r="19">
      <x:c r="A19" s="35" t="str">
        <x:v>Operator net revenue</x:v>
      </x:c>
      <x:c r="B19" s="73" t="n">
        <x:f>B14*'Assumptions'!$E$31</x:f>
        <x:v>0</x:v>
      </x:c>
      <x:c r="C19" s="73" t="n">
        <x:f>C14*'Assumptions'!$E$31</x:f>
        <x:v>0</x:v>
      </x:c>
      <x:c r="D19" s="73" t="n">
        <x:f>D14*'Assumptions'!$E$31</x:f>
        <x:v>0</x:v>
      </x:c>
      <x:c r="E19" s="73" t="n">
        <x:f>E14*'Assumptions'!$E$31</x:f>
        <x:v>0</x:v>
      </x:c>
      <x:c r="F19" s="73" t="n">
        <x:f>F14*'Assumptions'!$E$31</x:f>
        <x:v>0</x:v>
      </x:c>
      <x:c r="G19" s="73" t="n">
        <x:f>G14*'Assumptions'!$E$31</x:f>
        <x:v>0</x:v>
      </x:c>
      <x:c r="H19" s="73" t="n">
        <x:f>H14*'Assumptions'!$E$31</x:f>
        <x:v>0</x:v>
      </x:c>
      <x:c r="I19" s="73" t="n">
        <x:f>I14*'Assumptions'!$E$31</x:f>
        <x:v>0</x:v>
      </x:c>
      <x:c r="J19" s="73" t="n">
        <x:f>J14*'Assumptions'!$E$31</x:f>
        <x:v>0</x:v>
      </x:c>
      <x:c r="K19" s="73" t="n">
        <x:f>K14*'Assumptions'!$E$31</x:f>
        <x:v>0</x:v>
      </x:c>
      <x:c r="L19" s="73" t="n">
        <x:f>L14*'Assumptions'!$E$31</x:f>
        <x:v>0</x:v>
      </x:c>
      <x:c r="M19" s="73" t="n">
        <x:f>M14*'Assumptions'!$E$31</x:f>
        <x:v>0</x:v>
      </x:c>
    </x:row>
    <x:row r="20">
      <x:c r="A20" s="35" t="str">
        <x:v>Total net revenue</x:v>
      </x:c>
      <x:c r="B20" s="73" t="n">
        <x:f>SUM(B18:B19)</x:f>
        <x:v>105.7536</x:v>
      </x:c>
      <x:c r="C20" s="73" t="n">
        <x:f>SUM(C18:C19)</x:f>
        <x:v>221.22771840000004</x:v>
      </x:c>
      <x:c r="D20" s="73" t="n">
        <x:f>SUM(D18:D19)</x:f>
        <x:v>346.5763324416001</x:v>
      </x:c>
      <x:c r="E20" s="73" t="n">
        <x:f>SUM(E18:E19)</x:f>
        <x:v>482.07618720483845</x:v>
      </x:c>
      <x:c r="F20" s="73" t="n">
        <x:f>SUM(F18:F19)</x:f>
        <x:v>628.1251219893668</x:v>
      </x:c>
      <x:c r="G20" s="73" t="n">
        <x:f>SUM(G18:G19)</x:f>
        <x:v>785.2415628594072</x:v>
      </x:c>
      <x:c r="H20" s="73" t="n">
        <x:f>SUM(H18:H19)</x:f>
        <x:v>954.0651579530695</x:v>
      </x:c>
      <x:c r="I20" s="73" t="n">
        <x:f>SUM(I18:I19)</x:f>
        <x:v>1135.358542053364</x:v>
      </x:c>
      <x:c r="J20" s="73" t="n">
        <x:f>SUM(J18:J19)</x:f>
        <x:v>1330.0102266129713</x:v>
      </x:c>
      <x:c r="K20" s="73" t="n">
        <x:f>SUM(K18:K19)</x:f>
        <x:v>1539.0386209967724</x:v>
      </x:c>
      <x:c r="L20" s="73" t="n">
        <x:f>SUM(L18:L19)</x:f>
        <x:v>1763.5972002331673</x:v>
      </x:c>
      <x:c r="M20" s="73" t="n">
        <x:f>SUM(M18:M19)</x:f>
        <x:v>2004.9808441243476</x:v>
      </x:c>
    </x:row>
    <x:row r="21">
      <x:c r="A21" s="72"/>
      <x:c r="B21" s="74"/>
      <x:c r="C21" s="74"/>
      <x:c r="D21" s="74"/>
      <x:c r="E21" s="74"/>
      <x:c r="F21" s="74"/>
      <x:c r="G21" s="74"/>
      <x:c r="H21" s="74"/>
      <x:c r="I21" s="74"/>
      <x:c r="J21" s="74"/>
      <x:c r="K21" s="74"/>
      <x:c r="L21" s="74"/>
      <x:c r="M21" s="74"/>
    </x:row>
    <x:row r="22">
      <x:c r="A22" s="35" t="str">
        <x:v>Premium media/render/storage opex</x:v>
      </x:c>
      <x:c r="B22" s="73" t="n">
        <x:f>B13*'Assumptions'!$B$43</x:f>
        <x:v>30.873600000000007</x:v>
      </x:c>
      <x:c r="C22" s="73" t="n">
        <x:f>C13*'Assumptions'!$B$43</x:f>
        <x:v>64.58499840000002</x:v>
      </x:c>
      <x:c r="D22" s="73" t="n">
        <x:f>D13*'Assumptions'!$B$43</x:f>
        <x:v>101.17914716160004</x:v>
      </x:c>
      <x:c r="E22" s="73" t="n">
        <x:f>E13*'Assumptions'!$B$43</x:f>
        <x:v>140.73683896611843</x:v>
      </x:c>
      <x:c r="F22" s="73" t="n">
        <x:f>F13*'Assumptions'!$B$43</x:f>
        <x:v>183.37421861998945</x:v>
      </x:c>
      <x:c r="G22" s="73" t="n">
        <x:f>G13*'Assumptions'!$B$43</x:f>
        <x:v>229.2426349088466</x:v>
      </x:c>
      <x:c r="H22" s="73" t="n">
        <x:f>H13*'Assumptions'!$B$43</x:f>
        <x:v>278.52882606908787</x:v>
      </x:c>
      <x:c r="I22" s="73" t="n">
        <x:f>I13*'Assumptions'!$B$43</x:f>
        <x:v>331.4554349349691</x:v>
      </x:c>
      <x:c r="J22" s="73" t="n">
        <x:f>J13*'Assumptions'!$B$43</x:f>
        <x:v>388.28185264953856</x:v>
      </x:c>
      <x:c r="K22" s="73" t="n">
        <x:f>K13*'Assumptions'!$B$43</x:f>
        <x:v>449.30539262215143</x:v>
      </x:c>
      <x:c r="L22" s="73" t="n">
        <x:f>L13*'Assumptions'!$B$43</x:f>
        <x:v>514.8627991966109</x:v>
      </x:c>
      <x:c r="M22" s="73" t="n">
        <x:f>M13*'Assumptions'!$B$43</x:f>
        <x:v>585.3320982846681</x:v>
      </x:c>
    </x:row>
    <x:row r="23">
      <x:c r="A23" s="35" t="str">
        <x:v>Infra / platform variable cost</x:v>
      </x:c>
      <x:c r="B23" s="73" t="n">
        <x:f>B11*'Assumptions'!$E$23</x:f>
        <x:v>24.685714285714283</x:v>
      </x:c>
      <x:c r="C23" s="73" t="n">
        <x:f>C11*'Assumptions'!$E$23</x:f>
        <x:v>49.6656</x:v>
      </x:c>
      <x:c r="D23" s="73" t="n">
        <x:f>D11*'Assumptions'!$E$23</x:f>
        <x:v>75.11005440000001</x:v>
      </x:c>
      <x:c r="E23" s="73" t="n">
        <x:f>E11*'Assumptions'!$E$23</x:f>
        <x:v>101.1937438656</x:v>
      </x:c>
      <x:c r="F23" s="73" t="n">
        <x:f>F11*'Assumptions'!$E$23</x:f>
        <x:v>128.0968227558144</x:v>
      </x:c>
      <x:c r="G23" s="73" t="n">
        <x:f>G11*'Assumptions'!$E$23</x:f>
        <x:v>156.0061982085325</x:v>
      </x:c>
      <x:c r="H23" s="73" t="n">
        <x:f>H11*'Assumptions'!$E$23</x:f>
        <x:v>185.11684984773842</x:v>
      </x:c>
      <x:c r="I23" s="73" t="n">
        <x:f>I11*'Assumptions'!$E$23</x:f>
        <x:v>215.6332138012646</x:v>
      </x:c>
      <x:c r="J23" s="73" t="n">
        <x:f>J11*'Assumptions'!$E$23</x:f>
        <x:v>247.77064093850495</x:v>
      </x:c>
      <x:c r="K23" s="73" t="n">
        <x:f>K11*'Assumptions'!$E$23</x:f>
        <x:v>281.75693981524387</x:v>
      </x:c>
      <x:c r="L23" s="73" t="n">
        <x:f>L11*'Assumptions'!$E$23</x:f>
        <x:v>317.83401546631194</x:v>
      </x:c>
      <x:c r="M23" s="73" t="n">
        <x:f>M11*'Assumptions'!$E$23</x:f>
        <x:v>356.25961592116835</x:v>
      </x:c>
    </x:row>
    <x:row r="24">
      <x:c r="A24" s="35" t="str">
        <x:v>Operator opex</x:v>
      </x:c>
      <x:c r="B24" s="73" t="n">
        <x:f>B14*'Assumptions'!$E$32</x:f>
        <x:v>0</x:v>
      </x:c>
      <x:c r="C24" s="73" t="n">
        <x:f>C14*'Assumptions'!$E$32</x:f>
        <x:v>0</x:v>
      </x:c>
      <x:c r="D24" s="73" t="n">
        <x:f>D14*'Assumptions'!$E$32</x:f>
        <x:v>0</x:v>
      </x:c>
      <x:c r="E24" s="73" t="n">
        <x:f>E14*'Assumptions'!$E$32</x:f>
        <x:v>0</x:v>
      </x:c>
      <x:c r="F24" s="73" t="n">
        <x:f>F14*'Assumptions'!$E$32</x:f>
        <x:v>0</x:v>
      </x:c>
      <x:c r="G24" s="73" t="n">
        <x:f>G14*'Assumptions'!$E$32</x:f>
        <x:v>0</x:v>
      </x:c>
      <x:c r="H24" s="73" t="n">
        <x:f>H14*'Assumptions'!$E$32</x:f>
        <x:v>0</x:v>
      </x:c>
      <x:c r="I24" s="73" t="n">
        <x:f>I14*'Assumptions'!$E$32</x:f>
        <x:v>0</x:v>
      </x:c>
      <x:c r="J24" s="73" t="n">
        <x:f>J14*'Assumptions'!$E$32</x:f>
        <x:v>0</x:v>
      </x:c>
      <x:c r="K24" s="73" t="n">
        <x:f>K14*'Assumptions'!$E$32</x:f>
        <x:v>0</x:v>
      </x:c>
      <x:c r="L24" s="73" t="n">
        <x:f>L14*'Assumptions'!$E$32</x:f>
        <x:v>0</x:v>
      </x:c>
      <x:c r="M24" s="73" t="n">
        <x:f>M14*'Assumptions'!$E$32</x:f>
        <x:v>0</x:v>
      </x:c>
    </x:row>
    <x:row r="25">
      <x:c r="A25" s="35" t="str">
        <x:v>Total COGS</x:v>
      </x:c>
      <x:c r="B25" s="73" t="n">
        <x:f>SUM(B22:B24)</x:f>
        <x:v>55.559314285714294</x:v>
      </x:c>
      <x:c r="C25" s="73" t="n">
        <x:f>SUM(C22:C24)</x:f>
        <x:v>114.25059840000002</x:v>
      </x:c>
      <x:c r="D25" s="73" t="n">
        <x:f>SUM(D22:D24)</x:f>
        <x:v>176.28920156160007</x:v>
      </x:c>
      <x:c r="E25" s="73" t="n">
        <x:f>SUM(E22:E24)</x:f>
        <x:v>241.93058283171843</x:v>
      </x:c>
      <x:c r="F25" s="73" t="n">
        <x:f>SUM(F22:F24)</x:f>
        <x:v>311.47104137580385</x:v>
      </x:c>
      <x:c r="G25" s="73" t="n">
        <x:f>SUM(G22:G24)</x:f>
        <x:v>385.24883311737915</x:v>
      </x:c>
      <x:c r="H25" s="73" t="n">
        <x:f>SUM(H22:H24)</x:f>
        <x:v>463.6456759168263</x:v>
      </x:c>
      <x:c r="I25" s="73" t="n">
        <x:f>SUM(I22:I24)</x:f>
        <x:v>547.0886487362337</x:v>
      </x:c>
      <x:c r="J25" s="73" t="n">
        <x:f>SUM(J22:J24)</x:f>
        <x:v>636.0524935880435</x:v>
      </x:c>
      <x:c r="K25" s="73" t="n">
        <x:f>SUM(K22:K24)</x:f>
        <x:v>731.0623324373953</x:v>
      </x:c>
      <x:c r="L25" s="73" t="n">
        <x:f>SUM(L22:L24)</x:f>
        <x:v>832.6968146629229</x:v>
      </x:c>
      <x:c r="M25" s="73" t="n">
        <x:f>SUM(M22:M24)</x:f>
        <x:v>941.5917142058364</x:v>
      </x:c>
    </x:row>
    <x:row r="26">
      <x:c r="A26" s="35" t="str">
        <x:v>Gross profit</x:v>
      </x:c>
      <x:c r="B26" s="73" t="n">
        <x:f>B20-B25</x:f>
        <x:v>50.19428571428571</x:v>
      </x:c>
      <x:c r="C26" s="73" t="n">
        <x:f>C20-C25</x:f>
        <x:v>106.97712000000003</x:v>
      </x:c>
      <x:c r="D26" s="73" t="n">
        <x:f>D20-D25</x:f>
        <x:v>170.28713088</x:v>
      </x:c>
      <x:c r="E26" s="73" t="n">
        <x:f>E20-E25</x:f>
        <x:v>240.14560437312002</x:v>
      </x:c>
      <x:c r="F26" s="73" t="n">
        <x:f>F20-F25</x:f>
        <x:v>316.65408061356294</x:v>
      </x:c>
      <x:c r="G26" s="73" t="n">
        <x:f>G20-G25</x:f>
        <x:v>399.992729742028</x:v>
      </x:c>
      <x:c r="H26" s="73" t="n">
        <x:f>H20-H25</x:f>
        <x:v>490.4194820362432</x:v>
      </x:c>
      <x:c r="I26" s="73" t="n">
        <x:f>I20-I25</x:f>
        <x:v>588.2698933171304</x:v>
      </x:c>
      <x:c r="J26" s="73" t="n">
        <x:f>J20-J25</x:f>
        <x:v>693.9577330249278</x:v>
      </x:c>
      <x:c r="K26" s="73" t="n">
        <x:f>K20-K25</x:f>
        <x:v>807.976288559377</x:v>
      </x:c>
      <x:c r="L26" s="73" t="n">
        <x:f>L20-L25</x:f>
        <x:v>930.9003855702445</x:v>
      </x:c>
      <x:c r="M26" s="73" t="n">
        <x:f>M20-M25</x:f>
        <x:v>1063.3891299185111</x:v>
      </x:c>
    </x:row>
    <x:row r="27">
      <x:c r="A27" s="35" t="str">
        <x:v>Gross margin %</x:v>
      </x:c>
      <x:c r="B27" s="75" t="n">
        <x:f>IF(B20=0,0,B26/B20)</x:f>
        <x:v>0.4746342981637099</x:v>
      </x:c>
      <x:c r="C27" s="75" t="n">
        <x:f>IF(C20=0,0,C26/C20)</x:f>
        <x:v>0.48356110515308737</x:v>
      </x:c>
      <x:c r="D27" s="75" t="n">
        <x:f>IF(D20=0,0,D26/D20)</x:f>
        <x:v>0.4913409109050869</x:v>
      </x:c>
      <x:c r="E27" s="75" t="n">
        <x:f>IF(E20=0,0,E26/E20)</x:f>
        <x:v>0.49814865522714574</x:v>
      </x:c>
      <x:c r="F27" s="75" t="n">
        <x:f>IF(F20=0,0,F26/F20)</x:f>
        <x:v>0.5041258015770358</x:v>
      </x:c>
      <x:c r="G27" s="75" t="n">
        <x:f>IF(G20=0,0,G26/G20)</x:f>
        <x:v>0.5093881280118183</x:v>
      </x:c>
      <x:c r="H27" s="75" t="n">
        <x:f>IF(H20=0,0,H26/H20)</x:f>
        <x:v>0.5140314348009835</x:v>
      </x:c>
      <x:c r="I27" s="75" t="n">
        <x:f>IF(I20=0,0,I26/I20)</x:f>
        <x:v>0.5181357884120104</x:v>
      </x:c>
      <x:c r="J27" s="75" t="n">
        <x:f>IF(J20=0,0,J26/J20)</x:f>
        <x:v>0.5217687196226855</x:v>
      </x:c>
      <x:c r="K27" s="75" t="n">
        <x:f>IF(K20=0,0,K26/K20)</x:f>
        <x:v>0.5249876627761841</x:v>
      </x:c>
      <x:c r="L27" s="75" t="n">
        <x:f>IF(L20=0,0,L26/L20)</x:f>
        <x:v>0.5278418368135133</x:v>
      </x:c>
      <x:c r="M27" s="75" t="n">
        <x:f>IF(M20=0,0,M26/M20)</x:f>
        <x:v>0.5303737105692569</x:v>
      </x:c>
    </x:row>
    <x:row r="28">
      <x:c r="A28" s="72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</x:row>
    <x:row r="29">
      <x:c r="A29" s="35" t="str">
        <x:v>Paid marketing</x:v>
      </x:c>
      <x:c r="B29" s="73" t="n">
        <x:f>B5</x:f>
        <x:v>250</x:v>
      </x:c>
      <x:c r="C29" s="73" t="n">
        <x:f>C5</x:f>
        <x:v>262.5</x:v>
      </x:c>
      <x:c r="D29" s="73" t="n">
        <x:f>D5</x:f>
        <x:v>275.625</x:v>
      </x:c>
      <x:c r="E29" s="73" t="n">
        <x:f>E5</x:f>
        <x:v>289.40625</x:v>
      </x:c>
      <x:c r="F29" s="73" t="n">
        <x:f>F5</x:f>
        <x:v>303.87656250000003</x:v>
      </x:c>
      <x:c r="G29" s="73" t="n">
        <x:f>G5</x:f>
        <x:v>319.0703906250001</x:v>
      </x:c>
      <x:c r="H29" s="73" t="n">
        <x:f>H5</x:f>
        <x:v>335.0239101562501</x:v>
      </x:c>
      <x:c r="I29" s="73" t="n">
        <x:f>I5</x:f>
        <x:v>351.7751056640626</x:v>
      </x:c>
      <x:c r="J29" s="73" t="n">
        <x:f>J5</x:f>
        <x:v>369.3638609472658</x:v>
      </x:c>
      <x:c r="K29" s="73" t="n">
        <x:f>K5</x:f>
        <x:v>387.83205399462906</x:v>
      </x:c>
      <x:c r="L29" s="73" t="n">
        <x:f>L5</x:f>
        <x:v>407.22365669436056</x:v>
      </x:c>
      <x:c r="M29" s="73" t="n">
        <x:f>M5</x:f>
        <x:v>427.5848395290786</x:v>
      </x:c>
    </x:row>
    <x:row r="30">
      <x:c r="A30" s="35" t="str">
        <x:v>Fixed tools / ops</x:v>
      </x:c>
      <x:c r="B30" s="73" t="n">
        <x:f>'Assumptions'!$E$24</x:f>
        <x:v>520</x:v>
      </x:c>
      <x:c r="C30" s="73" t="n">
        <x:f>'Assumptions'!$E$24</x:f>
        <x:v>520</x:v>
      </x:c>
      <x:c r="D30" s="73" t="n">
        <x:f>'Assumptions'!$E$24</x:f>
        <x:v>520</x:v>
      </x:c>
      <x:c r="E30" s="73" t="n">
        <x:f>'Assumptions'!$E$24</x:f>
        <x:v>520</x:v>
      </x:c>
      <x:c r="F30" s="73" t="n">
        <x:f>'Assumptions'!$E$24</x:f>
        <x:v>520</x:v>
      </x:c>
      <x:c r="G30" s="73" t="n">
        <x:f>'Assumptions'!$E$24</x:f>
        <x:v>520</x:v>
      </x:c>
      <x:c r="H30" s="73" t="n">
        <x:f>'Assumptions'!$E$24</x:f>
        <x:v>520</x:v>
      </x:c>
      <x:c r="I30" s="73" t="n">
        <x:f>'Assumptions'!$E$24</x:f>
        <x:v>520</x:v>
      </x:c>
      <x:c r="J30" s="73" t="n">
        <x:f>'Assumptions'!$E$24</x:f>
        <x:v>520</x:v>
      </x:c>
      <x:c r="K30" s="73" t="n">
        <x:f>'Assumptions'!$E$24</x:f>
        <x:v>520</x:v>
      </x:c>
      <x:c r="L30" s="73" t="n">
        <x:f>'Assumptions'!$E$24</x:f>
        <x:v>520</x:v>
      </x:c>
      <x:c r="M30" s="73" t="n">
        <x:f>'Assumptions'!$E$24</x:f>
        <x:v>520</x:v>
      </x:c>
    </x:row>
    <x:row r="31">
      <x:c r="A31" s="35" t="str">
        <x:v>Contractors</x:v>
      </x:c>
      <x:c r="B31" s="73" t="n">
        <x:f>IF(B$4&gt;='Assumptions'!$E$25,'Assumptions'!$E$26,0)</x:f>
        <x:v>0</x:v>
      </x:c>
      <x:c r="C31" s="73" t="n">
        <x:f>IF(C$4&gt;='Assumptions'!$E$25,'Assumptions'!$E$26,0)</x:f>
        <x:v>0</x:v>
      </x:c>
      <x:c r="D31" s="73" t="n">
        <x:f>IF(D$4&gt;='Assumptions'!$E$25,'Assumptions'!$E$26,0)</x:f>
        <x:v>0</x:v>
      </x:c>
      <x:c r="E31" s="73" t="n">
        <x:f>IF(E$4&gt;='Assumptions'!$E$25,'Assumptions'!$E$26,0)</x:f>
        <x:v>0</x:v>
      </x:c>
      <x:c r="F31" s="73" t="n">
        <x:f>IF(F$4&gt;='Assumptions'!$E$25,'Assumptions'!$E$26,0)</x:f>
        <x:v>0</x:v>
      </x:c>
      <x:c r="G31" s="73" t="n">
        <x:f>IF(G$4&gt;='Assumptions'!$E$25,'Assumptions'!$E$26,0)</x:f>
        <x:v>0</x:v>
      </x:c>
      <x:c r="H31" s="73" t="n">
        <x:f>IF(H$4&gt;='Assumptions'!$E$25,'Assumptions'!$E$26,0)</x:f>
        <x:v>0</x:v>
      </x:c>
      <x:c r="I31" s="73" t="n">
        <x:f>IF(I$4&gt;='Assumptions'!$E$25,'Assumptions'!$E$26,0)</x:f>
        <x:v>0</x:v>
      </x:c>
      <x:c r="J31" s="73" t="n">
        <x:f>IF(J$4&gt;='Assumptions'!$E$25,'Assumptions'!$E$26,0)</x:f>
        <x:v>0</x:v>
      </x:c>
      <x:c r="K31" s="73" t="n">
        <x:f>IF(K$4&gt;='Assumptions'!$E$25,'Assumptions'!$E$26,0)</x:f>
        <x:v>0</x:v>
      </x:c>
      <x:c r="L31" s="73" t="n">
        <x:f>IF(L$4&gt;='Assumptions'!$E$25,'Assumptions'!$E$26,0)</x:f>
        <x:v>0</x:v>
      </x:c>
      <x:c r="M31" s="73" t="n">
        <x:f>IF(M$4&gt;='Assumptions'!$E$25,'Assumptions'!$E$26,0)</x:f>
        <x:v>0</x:v>
      </x:c>
    </x:row>
    <x:row r="32">
      <x:c r="A32" s="35" t="str">
        <x:v>Total operating expense</x:v>
      </x:c>
      <x:c r="B32" s="73" t="n">
        <x:f>SUM(B29:B31)</x:f>
        <x:v>770</x:v>
      </x:c>
      <x:c r="C32" s="73" t="n">
        <x:f>SUM(C29:C31)</x:f>
        <x:v>782.5</x:v>
      </x:c>
      <x:c r="D32" s="73" t="n">
        <x:f>SUM(D29:D31)</x:f>
        <x:v>795.625</x:v>
      </x:c>
      <x:c r="E32" s="73" t="n">
        <x:f>SUM(E29:E31)</x:f>
        <x:v>809.40625</x:v>
      </x:c>
      <x:c r="F32" s="73" t="n">
        <x:f>SUM(F29:F31)</x:f>
        <x:v>823.8765625000001</x:v>
      </x:c>
      <x:c r="G32" s="73" t="n">
        <x:f>SUM(G29:G31)</x:f>
        <x:v>839.0703906250001</x:v>
      </x:c>
      <x:c r="H32" s="73" t="n">
        <x:f>SUM(H29:H31)</x:f>
        <x:v>855.0239101562502</x:v>
      </x:c>
      <x:c r="I32" s="73" t="n">
        <x:f>SUM(I29:I31)</x:f>
        <x:v>871.7751056640626</x:v>
      </x:c>
      <x:c r="J32" s="73" t="n">
        <x:f>SUM(J29:J31)</x:f>
        <x:v>889.3638609472657</x:v>
      </x:c>
      <x:c r="K32" s="73" t="n">
        <x:f>SUM(K29:K31)</x:f>
        <x:v>907.8320539946291</x:v>
      </x:c>
      <x:c r="L32" s="73" t="n">
        <x:f>SUM(L29:L31)</x:f>
        <x:v>927.2236566943606</x:v>
      </x:c>
      <x:c r="M32" s="73" t="n">
        <x:f>SUM(M29:M31)</x:f>
        <x:v>947.5848395290786</x:v>
      </x:c>
    </x:row>
    <x:row r="33">
      <x:c r="A33" s="35" t="str">
        <x:v>EBITDA</x:v>
      </x:c>
      <x:c r="B33" s="73" t="n">
        <x:f>B26-B32</x:f>
        <x:v>-719.8057142857143</x:v>
      </x:c>
      <x:c r="C33" s="73" t="n">
        <x:f>C26-C32</x:f>
        <x:v>-675.52288</x:v>
      </x:c>
      <x:c r="D33" s="73" t="n">
        <x:f>D26-D32</x:f>
        <x:v>-625.33786912</x:v>
      </x:c>
      <x:c r="E33" s="73" t="n">
        <x:f>E26-E32</x:f>
        <x:v>-569.26064562688</x:v>
      </x:c>
      <x:c r="F33" s="73" t="n">
        <x:f>F26-F32</x:f>
        <x:v>-507.22248188643715</x:v>
      </x:c>
      <x:c r="G33" s="73" t="n">
        <x:f>G26-G32</x:f>
        <x:v>-439.07766088297205</x:v>
      </x:c>
      <x:c r="H33" s="73" t="n">
        <x:f>H26-H32</x:f>
        <x:v>-364.60442812000696</x:v>
      </x:c>
      <x:c r="I33" s="73" t="n">
        <x:f>I26-I32</x:f>
        <x:v>-283.50521234693224</x:v>
      </x:c>
      <x:c r="J33" s="73" t="n">
        <x:f>J26-J32</x:f>
        <x:v>-195.40612792233787</x:v>
      </x:c>
      <x:c r="K33" s="73" t="n">
        <x:f>K26-K32</x:f>
        <x:v>-99.85576543525201</x:v>
      </x:c>
      <x:c r="L33" s="73" t="n">
        <x:f>L26-L32</x:f>
        <x:v>3.676728875883896</x:v>
      </x:c>
      <x:c r="M33" s="73" t="n">
        <x:f>M26-M32</x:f>
        <x:v>115.80429038943248</x:v>
      </x:c>
    </x:row>
    <x:row r="34">
      <x:c r="A34" s="35" t="str">
        <x:v>EBITDA margin %</x:v>
      </x:c>
      <x:c r="B34" s="75" t="n">
        <x:f>IF(B20=0,0,B33/B20)</x:f>
        <x:v>-6.806441712487464</x:v>
      </x:c>
      <x:c r="C34" s="75" t="n">
        <x:f>IF(C20=0,0,C33/C20)</x:f>
        <x:v>-3.0535182701590426</x:v>
      </x:c>
      <x:c r="D34" s="75" t="n">
        <x:f>IF(D20=0,0,D33/D20)</x:f>
        <x:v>-1.8043294090930828</x:v>
      </x:c>
      <x:c r="E34" s="75" t="n">
        <x:f>IF(E20=0,0,E33/E20)</x:f>
        <x:v>-1.1808520328032632</x:v>
      </x:c>
      <x:c r="F34" s="75" t="n">
        <x:f>IF(F20=0,0,F33/F20)</x:f>
        <x:v>-0.8075182222930158</x:v>
      </x:c>
      <x:c r="G34" s="75" t="n">
        <x:f>IF(G20=0,0,G33/G20)</x:f>
        <x:v>-0.559162532462111</x:v>
      </x:c>
      <x:c r="H34" s="75" t="n">
        <x:f>IF(H20=0,0,H33/H20)</x:f>
        <x:v>-0.38215883378684484</x:v>
      </x:c>
      <x:c r="I34" s="75" t="n">
        <x:f>IF(I20=0,0,I33/I20)</x:f>
        <x:v>-0.24970544708651773</x:v>
      </x:c>
      <x:c r="J34" s="75" t="n">
        <x:f>IF(J20=0,0,J33/J20)</x:f>
        <x:v>-0.1469207709928387</x:v>
      </x:c>
      <x:c r="K34" s="75" t="n">
        <x:f>IF(K20=0,0,K33/K20)</x:f>
        <x:v>-0.06488191009175553</x:v>
      </x:c>
      <x:c r="L34" s="75" t="n">
        <x:f>IF(L20=0,0,L33/L20)</x:f>
        <x:v>0.0020847894719938265</x:v>
      </x:c>
      <x:c r="M34" s="75" t="n">
        <x:f>IF(M20=0,0,M33/M20)</x:f>
        <x:v>0.05775830264353906</x:v>
      </x:c>
    </x:row>
    <x:row r="35">
      <x:c r="A35" s="35" t="str">
        <x:v>Cumulative EBITDA</x:v>
      </x:c>
      <x:c r="B35" s="73" t="n">
        <x:f>B33</x:f>
        <x:v>-719.8057142857143</x:v>
      </x:c>
      <x:c r="C35" s="73" t="n">
        <x:f>B35+C33</x:f>
        <x:v>-1395.3285942857142</x:v>
      </x:c>
      <x:c r="D35" s="73" t="n">
        <x:f>C35+D33</x:f>
        <x:v>-2020.6664634057142</x:v>
      </x:c>
      <x:c r="E35" s="73" t="n">
        <x:f>D35+E33</x:f>
        <x:v>-2589.927109032594</x:v>
      </x:c>
      <x:c r="F35" s="73" t="n">
        <x:f>E35+F33</x:f>
        <x:v>-3097.149590919031</x:v>
      </x:c>
      <x:c r="G35" s="73" t="n">
        <x:f>F35+G33</x:f>
        <x:v>-3536.227251802003</x:v>
      </x:c>
      <x:c r="H35" s="73" t="n">
        <x:f>G35+H33</x:f>
        <x:v>-3900.83167992201</x:v>
      </x:c>
      <x:c r="I35" s="73" t="n">
        <x:f>H35+I33</x:f>
        <x:v>-4184.336892268942</x:v>
      </x:c>
      <x:c r="J35" s="73" t="n">
        <x:f>I35+J33</x:f>
        <x:v>-4379.74302019128</x:v>
      </x:c>
      <x:c r="K35" s="73" t="n">
        <x:f>J35+K33</x:f>
        <x:v>-4479.598785626532</x:v>
      </x:c>
      <x:c r="L35" s="73" t="n">
        <x:f>K35+L33</x:f>
        <x:v>-4475.922056750648</x:v>
      </x:c>
      <x:c r="M35" s="73" t="n">
        <x:f>L35+M33</x:f>
        <x:v>-4360.117766361216</x:v>
      </x:c>
    </x:row>
    <x:row r="36">
      <x:c r="A36" s="35" t="str">
        <x:v>Cash balance incl. starting capital</x:v>
      </x:c>
      <x:c r="B36" s="73" t="n">
        <x:f>'Assumptions'!$E$27+B35</x:f>
        <x:v>10080.194285714286</x:v>
      </x:c>
      <x:c r="C36" s="73" t="n">
        <x:f>'Assumptions'!$E$27+C35</x:f>
        <x:v>9404.671405714285</x:v>
      </x:c>
      <x:c r="D36" s="73" t="n">
        <x:f>'Assumptions'!$E$27+D35</x:f>
        <x:v>8779.333536594286</x:v>
      </x:c>
      <x:c r="E36" s="73" t="n">
        <x:f>'Assumptions'!$E$27+E35</x:f>
        <x:v>8210.072890967405</x:v>
      </x:c>
      <x:c r="F36" s="73" t="n">
        <x:f>'Assumptions'!$E$27+F35</x:f>
        <x:v>7702.850409080969</x:v>
      </x:c>
      <x:c r="G36" s="73" t="n">
        <x:f>'Assumptions'!$E$27+G35</x:f>
        <x:v>7263.772748197996</x:v>
      </x:c>
      <x:c r="H36" s="73" t="n">
        <x:f>'Assumptions'!$E$27+H35</x:f>
        <x:v>6899.16832007799</x:v>
      </x:c>
      <x:c r="I36" s="73" t="n">
        <x:f>'Assumptions'!$E$27+I35</x:f>
        <x:v>6615.663107731058</x:v>
      </x:c>
      <x:c r="J36" s="73" t="n">
        <x:f>'Assumptions'!$E$27+J35</x:f>
        <x:v>6420.25697980872</x:v>
      </x:c>
      <x:c r="K36" s="73" t="n">
        <x:f>'Assumptions'!$E$27+K35</x:f>
        <x:v>6320.401214373468</x:v>
      </x:c>
      <x:c r="L36" s="73" t="n">
        <x:f>'Assumptions'!$E$27+L35</x:f>
        <x:v>6324.077943249352</x:v>
      </x:c>
      <x:c r="M36" s="73" t="n">
        <x:f>'Assumptions'!$E$27+M35</x:f>
        <x:v>6439.882233638784</x:v>
      </x:c>
    </x:row>
    <x:row r="37">
      <x:c r="A37" s="72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  <x:c r="M37" s="19"/>
    </x:row>
    <x:row r="38">
      <x:c r="A38" s="35" t="str">
        <x:v>ARPU paying</x:v>
      </x:c>
      <x:c r="B38" s="76" t="n">
        <x:f>IF(B13=0,0,B16/B13)</x:f>
        <x:v>5.4</x:v>
      </x:c>
      <x:c r="C38" s="76" t="n">
        <x:f>IF(C13=0,0,C16/C13)</x:f>
        <x:v>5.4</x:v>
      </x:c>
      <x:c r="D38" s="76" t="n">
        <x:f>IF(D13=0,0,D16/D13)</x:f>
        <x:v>5.4</x:v>
      </x:c>
      <x:c r="E38" s="76" t="n">
        <x:f>IF(E13=0,0,E16/E13)</x:f>
        <x:v>5.4</x:v>
      </x:c>
      <x:c r="F38" s="76" t="n">
        <x:f>IF(F13=0,0,F16/F13)</x:f>
        <x:v>5.4</x:v>
      </x:c>
      <x:c r="G38" s="76" t="n">
        <x:f>IF(G13=0,0,G16/G13)</x:f>
        <x:v>5.4</x:v>
      </x:c>
      <x:c r="H38" s="76" t="n">
        <x:f>IF(H13=0,0,H16/H13)</x:f>
        <x:v>5.4</x:v>
      </x:c>
      <x:c r="I38" s="76" t="n">
        <x:f>IF(I13=0,0,I16/I13)</x:f>
        <x:v>5.4</x:v>
      </x:c>
      <x:c r="J38" s="76" t="n">
        <x:f>IF(J13=0,0,J16/J13)</x:f>
        <x:v>5.4</x:v>
      </x:c>
      <x:c r="K38" s="76" t="n">
        <x:f>IF(K13=0,0,K16/K13)</x:f>
        <x:v>5.4</x:v>
      </x:c>
      <x:c r="L38" s="76" t="n">
        <x:f>IF(L13=0,0,L16/L13)</x:f>
        <x:v>5.4</x:v>
      </x:c>
      <x:c r="M38" s="76" t="n">
        <x:f>IF(M13=0,0,M16/M13)</x:f>
        <x:v>5.4</x:v>
      </x:c>
    </x:row>
    <x:row r="39">
      <x:c r="A39" s="35" t="str">
        <x:v>Blended CAC this month</x:v>
      </x:c>
      <x:c r="B39" s="76" t="n">
        <x:f>IF(B12=0,0,B29/B12)</x:f>
        <x:v>10.850694444444445</x:v>
      </x:c>
      <x:c r="C39" s="76" t="n">
        <x:f>IF(C12=0,0,C29/C12)</x:f>
        <x:v>9.721876555500248</x:v>
      </x:c>
      <x:c r="D39" s="76" t="n">
        <x:f>IF(D12=0,0,D29/D12)</x:f>
        <x:v>8.844087887956611</x:v>
      </x:c>
      <x:c r="E39" s="76" t="n">
        <x:f>IF(E12=0,0,E29/E12)</x:f>
        <x:v>8.138256172263521</x:v>
      </x:c>
      <x:c r="F39" s="76" t="n">
        <x:f>IF(F12=0,0,F29/F12)</x:f>
        <x:v>7.555145557115903</x:v>
      </x:c>
      <x:c r="G39" s="76" t="n">
        <x:f>IF(G12=0,0,G29/G12)</x:f>
        <x:v>7.0625363385691085</x:v>
      </x:c>
      <x:c r="H39" s="76" t="n">
        <x:f>IF(H12=0,0,H29/H12)</x:f>
        <x:v>6.638492326053127</x:v>
      </x:c>
      <x:c r="I39" s="76" t="n">
        <x:f>IF(I12=0,0,I29/I12)</x:f>
        <x:v>6.267589977789167</x:v>
      </x:c>
      <x:c r="J39" s="76" t="n">
        <x:f>IF(J12=0,0,J29/J12)</x:f>
        <x:v>5.938692506519481</x:v>
      </x:c>
      <x:c r="K39" s="76" t="n">
        <x:f>IF(K12=0,0,K29/K12)</x:f>
        <x:v>5.643577250356584</x:v>
      </x:c>
      <x:c r="L39" s="76" t="n">
        <x:f>IF(L12=0,0,L29/L12)</x:f>
        <x:v>5.376057328688131</x:v>
      </x:c>
      <x:c r="M39" s="76" t="n">
        <x:f>IF(M12=0,0,M29/M12)</x:f>
        <x:v>5.13140148851161</x:v>
      </x:c>
    </x:row>
    <x:row r="40">
      <x:c r="A40" s="35" t="str">
        <x:v>CAC payback months</x:v>
      </x:c>
      <x:c r="B40" s="76" t="n">
        <x:f>IF('Assumptions'!$B$42=0,0,B39/'Assumptions'!$B$42)</x:f>
        <x:v>2.363985717743888</x:v>
      </x:c>
      <x:c r="C40" s="76" t="n">
        <x:f>IF('Assumptions'!$B$42=0,0,C39/'Assumptions'!$B$42)</x:f>
        <x:v>2.1180558944444985</x:v>
      </x:c>
      <x:c r="D40" s="76" t="n">
        <x:f>IF('Assumptions'!$B$42=0,0,D39/'Assumptions'!$B$42)</x:f>
        <x:v>1.9268165333238805</x:v>
      </x:c>
      <x:c r="E40" s="76" t="n">
        <x:f>IF('Assumptions'!$B$42=0,0,E39/'Assumptions'!$B$42)</x:f>
        <x:v>1.773040560405996</x:v>
      </x:c>
      <x:c r="F40" s="76" t="n">
        <x:f>IF('Assumptions'!$B$42=0,0,F39/'Assumptions'!$B$42)</x:f>
        <x:v>1.6460012107006325</x:v>
      </x:c>
      <x:c r="G40" s="76" t="n">
        <x:f>IF('Assumptions'!$B$42=0,0,G39/'Assumptions'!$B$42)</x:f>
        <x:v>1.5386789408647294</x:v>
      </x:c>
      <x:c r="H40" s="76" t="n">
        <x:f>IF('Assumptions'!$B$42=0,0,H39/'Assumptions'!$B$42)</x:f>
        <x:v>1.446294624412446</x:v>
      </x:c>
      <x:c r="I40" s="76" t="n">
        <x:f>IF('Assumptions'!$B$42=0,0,I39/'Assumptions'!$B$42)</x:f>
        <x:v>1.3654880125902324</x:v>
      </x:c>
      <x:c r="J40" s="76" t="n">
        <x:f>IF('Assumptions'!$B$42=0,0,J39/'Assumptions'!$B$42)</x:f>
        <x:v>1.2938327900913902</x:v>
      </x:c>
      <x:c r="K40" s="76" t="n">
        <x:f>IF('Assumptions'!$B$42=0,0,K39/'Assumptions'!$B$42)</x:f>
        <x:v>1.2295375273108027</x:v>
      </x:c>
      <x:c r="L40" s="76" t="n">
        <x:f>IF('Assumptions'!$B$42=0,0,L39/'Assumptions'!$B$42)</x:f>
        <x:v>1.1712543199756278</x:v>
      </x:c>
      <x:c r="M40" s="76" t="n">
        <x:f>IF('Assumptions'!$B$42=0,0,M39/'Assumptions'!$B$42)</x:f>
        <x:v>1.1179523940112441</x:v>
      </x:c>
    </x:row>
    <x:row r="41">
      <x:c r="A41" s="35" t="str">
        <x:v>EBITDA positive marker</x:v>
      </x:c>
      <x:c r="B41" s="77" t="n">
        <x:f>IF(B33&gt;=0,B4,999)</x:f>
        <x:v>999</x:v>
      </x:c>
      <x:c r="C41" s="77" t="n">
        <x:f>IF(C33&gt;=0,C4,999)</x:f>
        <x:v>999</x:v>
      </x:c>
      <x:c r="D41" s="77" t="n">
        <x:f>IF(D33&gt;=0,D4,999)</x:f>
        <x:v>999</x:v>
      </x:c>
      <x:c r="E41" s="77" t="n">
        <x:f>IF(E33&gt;=0,E4,999)</x:f>
        <x:v>999</x:v>
      </x:c>
      <x:c r="F41" s="77" t="n">
        <x:f>IF(F33&gt;=0,F4,999)</x:f>
        <x:v>999</x:v>
      </x:c>
      <x:c r="G41" s="77" t="n">
        <x:f>IF(G33&gt;=0,G4,999)</x:f>
        <x:v>999</x:v>
      </x:c>
      <x:c r="H41" s="77" t="n">
        <x:f>IF(H33&gt;=0,H4,999)</x:f>
        <x:v>999</x:v>
      </x:c>
      <x:c r="I41" s="77" t="n">
        <x:f>IF(I33&gt;=0,I4,999)</x:f>
        <x:v>999</x:v>
      </x:c>
      <x:c r="J41" s="77" t="n">
        <x:f>IF(J33&gt;=0,J4,999)</x:f>
        <x:v>999</x:v>
      </x:c>
      <x:c r="K41" s="77" t="n">
        <x:f>IF(K33&gt;=0,K4,999)</x:f>
        <x:v>999</x:v>
      </x:c>
      <x:c r="L41" s="77" t="n">
        <x:f>IF(L33&gt;=0,L4,999)</x:f>
        <x:v>11</x:v>
      </x:c>
      <x:c r="M41" s="77" t="n">
        <x:f>IF(M33&gt;=0,M4,999)</x:f>
        <x:v>12</x:v>
      </x:c>
    </x:row>
    <x:row r="42">
      <x:c r="A42" s="35" t="str">
        <x:v>3-month EBITDA positive marker</x:v>
      </x:c>
      <x:c r="B42" s="77" t="n">
        <x:f>999</x:f>
        <x:v>999</x:v>
      </x:c>
      <x:c r="C42" s="77" t="n">
        <x:f>999</x:f>
        <x:v>999</x:v>
      </x:c>
      <x:c r="D42" s="77" t="n">
        <x:f>IF(AND(B33&gt;=0,C33&gt;=0,D33&gt;=0),D4,999)</x:f>
        <x:v>999</x:v>
      </x:c>
      <x:c r="E42" s="77" t="n">
        <x:f>IF(AND(C33&gt;=0,D33&gt;=0,E33&gt;=0),E4,999)</x:f>
        <x:v>999</x:v>
      </x:c>
      <x:c r="F42" s="77" t="n">
        <x:f>IF(AND(D33&gt;=0,E33&gt;=0,F33&gt;=0),F4,999)</x:f>
        <x:v>999</x:v>
      </x:c>
      <x:c r="G42" s="77" t="n">
        <x:f>IF(AND(E33&gt;=0,F33&gt;=0,G33&gt;=0),G4,999)</x:f>
        <x:v>999</x:v>
      </x:c>
      <x:c r="H42" s="77" t="n">
        <x:f>IF(AND(F33&gt;=0,G33&gt;=0,H33&gt;=0),H4,999)</x:f>
        <x:v>999</x:v>
      </x:c>
      <x:c r="I42" s="77" t="n">
        <x:f>IF(AND(G33&gt;=0,H33&gt;=0,I33&gt;=0),I4,999)</x:f>
        <x:v>999</x:v>
      </x:c>
      <x:c r="J42" s="77" t="n">
        <x:f>IF(AND(H33&gt;=0,I33&gt;=0,J33&gt;=0),J4,999)</x:f>
        <x:v>999</x:v>
      </x:c>
      <x:c r="K42" s="77" t="n">
        <x:f>IF(AND(I33&gt;=0,J33&gt;=0,K33&gt;=0),K4,999)</x:f>
        <x:v>999</x:v>
      </x:c>
      <x:c r="L42" s="77" t="n">
        <x:f>IF(AND(J33&gt;=0,K33&gt;=0,L33&gt;=0),L4,999)</x:f>
        <x:v>999</x:v>
      </x:c>
      <x:c r="M42" s="77" t="n">
        <x:f>IF(AND(K33&gt;=0,L33&gt;=0,M33&gt;=0),M4,999)</x:f>
        <x:v>999</x:v>
      </x:c>
    </x:row>
    <x:row r="43">
      <x:c r="A43" s="35" t="str">
        <x:v>Scale-ready marker</x:v>
      </x:c>
      <x:c r="B43" s="77" t="n">
        <x:f>999</x:f>
        <x:v>999</x:v>
      </x:c>
      <x:c r="C43" s="77" t="n">
        <x:f>999</x:f>
        <x:v>999</x:v>
      </x:c>
      <x:c r="D43" s="77" t="n">
        <x:f>IF(AND(B33&gt;=0,C33&gt;=0,D33&gt;=0,D27&gt;='Assumptions'!$E$33,'Assumptions'!$B$48&gt;='Assumptions'!$E$34,D40&lt;='Assumptions'!$E$35),D4,999)</x:f>
        <x:v>999</x:v>
      </x:c>
      <x:c r="E43" s="77" t="n">
        <x:f>IF(AND(C33&gt;=0,D33&gt;=0,E33&gt;=0,E27&gt;='Assumptions'!$E$33,'Assumptions'!$B$48&gt;='Assumptions'!$E$34,E40&lt;='Assumptions'!$E$35),E4,999)</x:f>
        <x:v>999</x:v>
      </x:c>
      <x:c r="F43" s="77" t="n">
        <x:f>IF(AND(D33&gt;=0,E33&gt;=0,F33&gt;=0,F27&gt;='Assumptions'!$E$33,'Assumptions'!$B$48&gt;='Assumptions'!$E$34,F40&lt;='Assumptions'!$E$35),F4,999)</x:f>
        <x:v>999</x:v>
      </x:c>
      <x:c r="G43" s="77" t="n">
        <x:f>IF(AND(E33&gt;=0,F33&gt;=0,G33&gt;=0,G27&gt;='Assumptions'!$E$33,'Assumptions'!$B$48&gt;='Assumptions'!$E$34,G40&lt;='Assumptions'!$E$35),G4,999)</x:f>
        <x:v>999</x:v>
      </x:c>
      <x:c r="H43" s="77" t="n">
        <x:f>IF(AND(F33&gt;=0,G33&gt;=0,H33&gt;=0,H27&gt;='Assumptions'!$E$33,'Assumptions'!$B$48&gt;='Assumptions'!$E$34,H40&lt;='Assumptions'!$E$35),H4,999)</x:f>
        <x:v>999</x:v>
      </x:c>
      <x:c r="I43" s="77" t="n">
        <x:f>IF(AND(G33&gt;=0,H33&gt;=0,I33&gt;=0,I27&gt;='Assumptions'!$E$33,'Assumptions'!$B$48&gt;='Assumptions'!$E$34,I40&lt;='Assumptions'!$E$35),I4,999)</x:f>
        <x:v>999</x:v>
      </x:c>
      <x:c r="J43" s="77" t="n">
        <x:f>IF(AND(H33&gt;=0,I33&gt;=0,J33&gt;=0,J27&gt;='Assumptions'!$E$33,'Assumptions'!$B$48&gt;='Assumptions'!$E$34,J40&lt;='Assumptions'!$E$35),J4,999)</x:f>
        <x:v>999</x:v>
      </x:c>
      <x:c r="K43" s="77" t="n">
        <x:f>IF(AND(I33&gt;=0,J33&gt;=0,K33&gt;=0,K27&gt;='Assumptions'!$E$33,'Assumptions'!$B$48&gt;='Assumptions'!$E$34,K40&lt;='Assumptions'!$E$35),K4,999)</x:f>
        <x:v>999</x:v>
      </x:c>
      <x:c r="L43" s="77" t="n">
        <x:f>IF(AND(J33&gt;=0,K33&gt;=0,L33&gt;=0,L27&gt;='Assumptions'!$E$33,'Assumptions'!$B$48&gt;='Assumptions'!$E$34,L40&lt;='Assumptions'!$E$35),L4,999)</x:f>
        <x:v>999</x:v>
      </x:c>
      <x:c r="M43" s="77" t="n">
        <x:f>IF(AND(K33&gt;=0,L33&gt;=0,M33&gt;=0,M27&gt;='Assumptions'!$E$33,'Assumptions'!$B$48&gt;='Assumptions'!$E$34,M40&lt;='Assumptions'!$E$35),M4,999)</x:f>
        <x:v>999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27.5" hidden="0" customWidth="1"/>
    <x:col min="3" max="3" width="27.5" hidden="0" customWidth="1"/>
    <x:col min="4" max="4" width="27.5" hidden="0" customWidth="1"/>
    <x:col min="5" max="5" width="37.5" hidden="0" customWidth="1"/>
  </x:cols>
  <x:sheetData>
    <x:row r="1">
      <x:c r="A1" s="2" t="str">
        <x:v>Scaling Gates</x:v>
      </x:c>
    </x:row>
    <x:row r="2">
      <x:c r="A2" s="5" t="str">
        <x:v>Use these as operating gates; financial readiness is necessary, not sufficient.</x:v>
      </x:c>
    </x:row>
    <x:row r="4">
      <x:c r="A4" s="9" t="str">
        <x:v>Gate</x:v>
      </x:c>
      <x:c r="B4" s="10" t="str">
        <x:v>Decision</x:v>
      </x:c>
      <x:c r="C4" s="10" t="str">
        <x:v>Financial trigger</x:v>
      </x:c>
      <x:c r="D4" s="10" t="str">
        <x:v>Product/ops trigger</x:v>
      </x:c>
      <x:c r="E4" s="11" t="str">
        <x:v>Action</x:v>
      </x:c>
    </x:row>
    <x:row r="5">
      <x:c r="A5" s="80" t="str">
        <x:v>Gate 0 - Internal testers</x:v>
      </x:c>
      <x:c r="B5" s="80" t="str">
        <x:v>Proceed now</x:v>
      </x:c>
      <x:c r="C5" s="80" t="str">
        <x:v>No break-even required</x:v>
      </x:c>
      <x:c r="D5" s="80" t="str">
        <x:v>Crashlytics, email fallback, App Links, DR, staging smoke</x:v>
      </x:c>
      <x:c r="E5" s="80" t="str">
        <x:v>Keep spend tiny; learn from real usage.</x:v>
      </x:c>
    </x:row>
    <x:row r="6">
      <x:c r="A6" s="81" t="str">
        <x:v>Gate 1 - Closed beta</x:v>
      </x:c>
      <x:c r="B6" s="81" t="str">
        <x:v>Open once launch gates clear</x:v>
      </x:c>
      <x:c r="C6" s="81" t="str">
        <x:v>Cash runway remains positive</x:v>
      </x:c>
      <x:c r="D6" s="81" t="str">
        <x:v>Invite/join/share loops instrumented</x:v>
      </x:c>
      <x:c r="E6" s="81" t="str">
        <x:v>Use Firebase distribution / Play closed testing.</x:v>
      </x:c>
    </x:row>
    <x:row r="7">
      <x:c r="A7" s="81" t="str">
        <x:v>Gate 2 - Controlled growth</x:v>
      </x:c>
      <x:c r="B7" s="81" t="str">
        <x:v>Only after scale-ready month</x:v>
      </x:c>
      <x:c r="C7" s="81" t="str">
        <x:v>3-month EBITDA-positive streak and LTV:CAC &gt; hurdle</x:v>
      </x:c>
      <x:c r="D7" s="81" t="str">
        <x:v>Retention/viral metrics stable, support load manageable</x:v>
      </x:c>
      <x:c r="E7" s="81" t="str">
        <x:v>Small paid tests and creator/community partnerships.</x:v>
      </x:c>
    </x:row>
    <x:row r="8">
      <x:c r="A8" s="81" t="str">
        <x:v>Gate 3 - Media-heavy expansion</x:v>
      </x:c>
      <x:c r="B8" s="81" t="str">
        <x:v>Do not pre-commit unlimited media</x:v>
      </x:c>
      <x:c r="C8" s="81" t="str">
        <x:v>Gross margin holds after storage/egress</x:v>
      </x:c>
      <x:c r="D8" s="81" t="str">
        <x:v>Cache drop/rehydration proven, object backup active</x:v>
      </x:c>
      <x:c r="E8" s="81" t="str">
        <x:v>Add quotas, compression, thumbnails, lifecycle policy.</x:v>
      </x:c>
    </x:row>
    <x:row r="9">
      <x:c r="A9" s="81" t="str">
        <x:v>Gate 4 - Hiring/contractors</x:v>
      </x:c>
      <x:c r="B9" s="81" t="str">
        <x:v>Only after explicit reforecast</x:v>
      </x:c>
      <x:c r="C9" s="81" t="str">
        <x:v>Cash runway and EBITDA cover added fixed cost</x:v>
      </x:c>
      <x:c r="D9" s="81" t="str">
        <x:v>Roadmap bottleneck is capacity, not uncertainty</x:v>
      </x:c>
      <x:c r="E9" s="81" t="str">
        <x:v>Add cost to Assumptions before hiring.</x:v>
      </x:c>
    </x:row>
    <x:row r="10">
      <x:c r="A10" s="82" t="str">
        <x:v>Gate 5 - Global scale</x:v>
      </x:c>
      <x:c r="B10" s="82" t="str">
        <x:v>Negotiate/support before pain</x:v>
      </x:c>
      <x:c r="C10" s="82" t="str">
        <x:v>Provider spend and latency justify plan upgrade</x:v>
      </x:c>
      <x:c r="D10" s="82" t="str">
        <x:v>Observed regional demand and support needs</x:v>
      </x:c>
      <x:c r="E10" s="82" t="str">
        <x:v>Supabase/Vercel support, replicas, CDN/media pipeline.</x:v>
      </x:c>
    </x:row>
    <x:row r="12">
      <x:c r="A12" s="9" t="str">
        <x:v>Live gate outputs</x:v>
      </x:c>
      <x:c r="B12" s="10" t="str">
        <x:v>Value</x:v>
      </x:c>
      <x:c r="C12" s="10" t="str">
        <x:v>Status</x:v>
      </x:c>
      <x:c r="D12" s="10" t="str">
        <x:v>Where from</x:v>
      </x:c>
      <x:c r="E12" s="11" t="str">
        <x:v>Notes</x:v>
      </x:c>
    </x:row>
    <x:row r="13">
      <x:c r="A13" t="str">
        <x:v>First EBITDA-positive month</x:v>
      </x:c>
      <x:c r="B13" t="str">
        <x:f>Summary!B9</x:f>
        <x:v>Month 11</x:v>
      </x:c>
      <x:c r="C13" t="str">
        <x:f>IF(B13="Not in first 12 months","Watch","OK")</x:f>
        <x:v>OK</x:v>
      </x:c>
      <x:c r="D13" t="str">
        <x:v>Summary!B9</x:v>
      </x:c>
      <x:c r="E13" t="str">
        <x:v>Monthly profitability starts here.</x:v>
      </x:c>
    </x:row>
    <x:row r="14">
      <x:c r="A14" t="str">
        <x:v>First 3-month streak</x:v>
      </x:c>
      <x:c r="B14" t="str">
        <x:f>Summary!B10</x:f>
        <x:v>Not in first 12 months</x:v>
      </x:c>
      <x:c r="C14" t="str">
        <x:f>IF(B14="Not in first 12 months","Hold scaling","OK")</x:f>
        <x:v>Hold scaling</x:v>
      </x:c>
      <x:c r="D14" t="str">
        <x:v>Summary!B10</x:v>
      </x:c>
      <x:c r="E14" t="str">
        <x:v>Better signal than one lucky month.</x:v>
      </x:c>
    </x:row>
    <x:row r="15">
      <x:c r="A15" t="str">
        <x:v>First scale-ready month</x:v>
      </x:c>
      <x:c r="B15" t="str">
        <x:f>Summary!B11</x:f>
        <x:v>Not yet - keep learning</x:v>
      </x:c>
      <x:c r="C15" t="str">
        <x:f>IF(LEFT(B15,5)="Month","OK","Hold")</x:f>
        <x:v>Hold</x:v>
      </x:c>
      <x:c r="D15" t="str">
        <x:v>Summary!B11</x:v>
      </x:c>
      <x:c r="E15" t="str">
        <x:v>Financial gate for controlled paid scaling.</x:v>
      </x:c>
    </x:row>
    <x:row r="16">
      <x:c r="A16" t="str">
        <x:v>Lowest cash balance</x:v>
      </x:c>
      <x:c r="B16" s="58" t="n">
        <x:f>Summary!B12</x:f>
        <x:v>6320.401214373468</x:v>
      </x:c>
      <x:c r="C16" t="str">
        <x:f>IF(B16&gt;0,"OK","Cash risk")</x:f>
        <x:v>OK</x:v>
      </x:c>
      <x:c r="D16" t="str">
        <x:v>Summary!B12</x:v>
      </x:c>
      <x:c r="E16" t="str">
        <x:v>Includes founder capital.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8.75" hidden="0" customWidth="1"/>
    <x:col min="3" max="3" width="18.75" hidden="0" customWidth="1"/>
    <x:col min="4" max="4" width="18.75" hidden="0" customWidth="1"/>
    <x:col min="5" max="5" width="15" hidden="0" customWidth="1"/>
    <x:col min="6" max="6" width="45" hidden="0" customWidth="1"/>
  </x:cols>
  <x:sheetData>
    <x:row r="1">
      <x:c r="A1" s="2" t="str">
        <x:v>Checks</x:v>
      </x:c>
    </x:row>
    <x:row r="2">
      <x:c r="A2" s="5" t="str">
        <x:v>Model controls and sanity checks.</x:v>
      </x:c>
    </x:row>
    <x:row r="4">
      <x:c r="A4" s="9" t="str">
        <x:v>Check</x:v>
      </x:c>
      <x:c r="B4" s="10" t="str">
        <x:v>Actual</x:v>
      </x:c>
      <x:c r="C4" s="10" t="str">
        <x:v>Expected</x:v>
      </x:c>
      <x:c r="D4" s="10" t="str">
        <x:v>Difference</x:v>
      </x:c>
      <x:c r="E4" s="10" t="str">
        <x:v>Status</x:v>
      </x:c>
      <x:c r="F4" s="11" t="str">
        <x:v>Notes</x:v>
      </x:c>
    </x:row>
    <x:row r="5">
      <x:c r="A5" s="16" t="str">
        <x:v>Scenario selector valid</x:v>
      </x:c>
      <x:c r="B5" s="16" t="n">
        <x:f>COUNTIF('Assumptions'!B6:D6,'Assumptions'!B4)</x:f>
        <x:v>1</x:v>
      </x:c>
      <x:c r="C5" s="16" t="n">
        <x:v>1</x:v>
      </x:c>
      <x:c r="D5" s="16" t="n">
        <x:f>B5-C5</x:f>
        <x:v>0</x:v>
      </x:c>
      <x:c r="E5" s="84" t="str">
        <x:f>IF(D5=0,"OK","FAIL")</x:f>
        <x:v>OK</x:v>
      </x:c>
      <x:c r="F5" s="16" t="str">
        <x:v>Scenario must be Conservative, Base, or Upside.</x:v>
      </x:c>
    </x:row>
    <x:row r="6">
      <x:c r="A6" s="19" t="str">
        <x:v>Net revenue ties to P&amp;L rows</x:v>
      </x:c>
      <x:c r="B6" s="74" t="n">
        <x:f>Summary!B7</x:f>
        <x:v>11296.051114868904</x:v>
      </x:c>
      <x:c r="C6" s="74" t="n">
        <x:f>SUM('Monthly_PnL'!B20:M20)</x:f>
        <x:v>11296.051114868904</x:v>
      </x:c>
      <x:c r="D6" s="74" t="n">
        <x:f>B6-C6</x:f>
        <x:v>0</x:v>
      </x:c>
      <x:c r="E6" s="85" t="str">
        <x:f>IF(ABS(D6)&lt;0.01,"OK","FAIL")</x:f>
        <x:v>OK</x:v>
      </x:c>
      <x:c r="F6" s="19" t="str">
        <x:v>Summary revenue equals monthly total net revenue.</x:v>
      </x:c>
    </x:row>
    <x:row r="7">
      <x:c r="A7" s="19" t="str">
        <x:v>EBITDA ties to P&amp;L rows</x:v>
      </x:c>
      <x:c r="B7" s="74" t="n">
        <x:f>Summary!B8</x:f>
        <x:v>-4360.117766361216</x:v>
      </x:c>
      <x:c r="C7" s="74" t="n">
        <x:f>SUM('Monthly_PnL'!B33:M33)</x:f>
        <x:v>-4360.117766361216</x:v>
      </x:c>
      <x:c r="D7" s="74" t="n">
        <x:f>B7-C7</x:f>
        <x:v>0</x:v>
      </x:c>
      <x:c r="E7" s="85" t="str">
        <x:f>IF(ABS(D7)&lt;0.01,"OK","FAIL")</x:f>
        <x:v>OK</x:v>
      </x:c>
      <x:c r="F7" s="19" t="str">
        <x:v>Summary EBITDA equals monthly EBITDA total.</x:v>
      </x:c>
    </x:row>
    <x:row r="8">
      <x:c r="A8" s="19" t="str">
        <x:v>Cash formula ties</x:v>
      </x:c>
      <x:c r="B8" s="74" t="n">
        <x:f>Summary!B12</x:f>
        <x:v>6320.401214373468</x:v>
      </x:c>
      <x:c r="C8" s="74" t="n">
        <x:f>MIN('Monthly_PnL'!B36:M36)</x:f>
        <x:v>6320.401214373468</x:v>
      </x:c>
      <x:c r="D8" s="74" t="n">
        <x:f>B8-C8</x:f>
        <x:v>0</x:v>
      </x:c>
      <x:c r="E8" s="85" t="str">
        <x:f>IF(ABS(D8)&lt;0.01,"OK","FAIL")</x:f>
        <x:v>OK</x:v>
      </x:c>
      <x:c r="F8" s="19" t="str">
        <x:v>Lowest cash is sourced from monthly cash balance row.</x:v>
      </x:c>
    </x:row>
    <x:row r="9">
      <x:c r="A9" s="19" t="str">
        <x:v>Scale month not before break-even streak</x:v>
      </x:c>
      <x:c r="B9" s="19" t="n">
        <x:f>MIN('Monthly_PnL'!B43:M43)</x:f>
        <x:v>999</x:v>
      </x:c>
      <x:c r="C9" s="19" t="n">
        <x:f>MIN('Monthly_PnL'!B42:M42)</x:f>
        <x:v>999</x:v>
      </x:c>
      <x:c r="D9" s="19" t="n">
        <x:f>IF(B9=999,0,B9-C9)</x:f>
        <x:v>0</x:v>
      </x:c>
      <x:c r="E9" s="85" t="str">
        <x:f>IF(OR(B9=999,D9&gt;=0),"OK","FAIL")</x:f>
        <x:v>OK</x:v>
      </x:c>
      <x:c r="F9" s="19" t="str">
        <x:v>Controlled scaling cannot precede 3-month EBITDA-positive streak.</x:v>
      </x:c>
    </x:row>
    <x:row r="10">
      <x:c r="A10" s="19" t="str">
        <x:v>Starting capital remains positive</x:v>
      </x:c>
      <x:c r="B10" s="74" t="n">
        <x:f>'Assumptions'!E27</x:f>
        <x:v>10800</x:v>
      </x:c>
      <x:c r="C10" s="74" t="n">
        <x:v>0</x:v>
      </x:c>
      <x:c r="D10" s="74" t="n">
        <x:f>B10-C10</x:f>
        <x:v>10800</x:v>
      </x:c>
      <x:c r="E10" s="85" t="str">
        <x:f>IF(D10&gt;0,"OK","FAIL")</x:f>
        <x:v>OK</x:v>
      </x:c>
      <x:c r="F10" s="19" t="str">
        <x:v>Founder capital should be &gt; 0 unless intentionally changed.</x:v>
      </x:c>
    </x:row>
    <x:row r="11">
      <x:c r="A11" s="19" t="str">
        <x:v>Model status</x:v>
      </x:c>
      <x:c r="B11" s="19"/>
      <x:c r="C11" s="19"/>
      <x:c r="D11" s="19"/>
      <x:c r="E11" s="85" t="str">
        <x:f>IF(COUNTIF(E5:E10,"FAIL")=0,"PASS","FAIL")</x:f>
        <x:v>PASS</x:v>
      </x:c>
      <x:c r="F11" s="19" t="str">
        <x:v>All checks must be OK.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.25" hidden="0" customWidth="1"/>
    <x:col min="3" max="3" width="20" hidden="0" customWidth="1"/>
    <x:col min="4" max="4" width="20" hidden="0" customWidth="1"/>
    <x:col min="5" max="5" width="32.5" hidden="0" customWidth="1"/>
    <x:col min="6" max="6" width="57.5" hidden="0" customWidth="1"/>
  </x:cols>
  <x:sheetData>
    <x:row r="1">
      <x:c r="A1" s="2" t="str">
        <x:v>Sources and Audit Trail</x:v>
      </x:c>
    </x:row>
    <x:row r="2">
      <x:c r="A2" s="5" t="str">
        <x:v>Plain-text source log for model inputs.</x:v>
      </x:c>
    </x:row>
    <x:row r="4">
      <x:c r="A4" s="9" t="str">
        <x:v>Item</x:v>
      </x:c>
      <x:c r="B4" s="10" t="str">
        <x:v>Value / scope</x:v>
      </x:c>
      <x:c r="C4" s="10" t="str">
        <x:v>Units</x:v>
      </x:c>
      <x:c r="D4" s="10" t="str">
        <x:v>As-of</x:v>
      </x:c>
      <x:c r="E4" s="10" t="str">
        <x:v>Source</x:v>
      </x:c>
      <x:c r="F4" s="11" t="str">
        <x:v>Notes</x:v>
      </x:c>
    </x:row>
    <x:row r="5">
      <x:c r="A5" s="80" t="str">
        <x:v>Core launch assumptions</x:v>
      </x:c>
      <x:c r="B5" s="80" t="str">
        <x:v>Conservative / Base / Upside</x:v>
      </x:c>
      <x:c r="C5" s="80" t="str">
        <x:v>drivers</x:v>
      </x:c>
      <x:c r="D5" s="80" t="str">
        <x:v>2026-06-20</x:v>
      </x:c>
      <x:c r="E5" s="80" t="str">
        <x:v>docs/business/Vamo_Financial_Model.xlsx</x:v>
      </x:c>
      <x:c r="F5" s="80" t="str">
        <x:v>Scenario table copied into Assumptions so this workbook is standalone and auditable.</x:v>
      </x:c>
    </x:row>
    <x:row r="6">
      <x:c r="A6" s="81" t="str">
        <x:v>Headline break-even framing</x:v>
      </x:c>
      <x:c r="B6" s="81" t="str">
        <x:v>around month 11</x:v>
      </x:c>
      <x:c r="C6" s="81" t="str">
        <x:v>month</x:v>
      </x:c>
      <x:c r="D6" s="81" t="str">
        <x:v>2026-06</x:v>
      </x:c>
      <x:c r="E6" s="81" t="str">
        <x:v>docs/business/Vamo_Business_Plan.docx</x:v>
      </x:c>
      <x:c r="F6" s="81" t="str">
        <x:v>Business plan states wedge turns profitable around month 11 in base case.</x:v>
      </x:c>
    </x:row>
    <x:row r="7">
      <x:c r="A7" s="81" t="str">
        <x:v>Business model pricing</x:v>
      </x:c>
      <x:c r="B7" s="81" t="str">
        <x:v>Voyager $4, Pioneer $11</x:v>
      </x:c>
      <x:c r="C7" s="81" t="str">
        <x:v>$/mo</x:v>
      </x:c>
      <x:c r="D7" s="81" t="str">
        <x:v>2026-06</x:v>
      </x:c>
      <x:c r="E7" s="81" t="str">
        <x:v>docs/business/Vamo_Business_Plan.docx</x:v>
      </x:c>
      <x:c r="F7" s="81" t="str">
        <x:v>Tiers priced to hold gross margin; Free is funnel.</x:v>
      </x:c>
    </x:row>
    <x:row r="8">
      <x:c r="A8" s="81" t="str">
        <x:v>Media/storage guardrails</x:v>
      </x:c>
      <x:c r="B8" s="81" t="str">
        <x:v>storage is first cost multiplier</x:v>
      </x:c>
      <x:c r="C8" s="81" t="str">
        <x:v>qualitative</x:v>
      </x:c>
      <x:c r="D8" s="81" t="str">
        <x:v>2026-06-20</x:v>
      </x:c>
      <x:c r="E8" s="81" t="str">
        <x:v>docs/business/vamo_dependency_and_scaling_map.pptx</x:v>
      </x:c>
      <x:c r="F8" s="81" t="str">
        <x:v>Used for scaling gate notes, not as a hard P&amp;L driver.</x:v>
      </x:c>
    </x:row>
    <x:row r="9">
      <x:c r="A9" s="81" t="str">
        <x:v>Roadmap timing</x:v>
      </x:c>
      <x:c r="B9" s="81" t="str">
        <x:v>Wave 3 around months 6-12; TripReel later</x:v>
      </x:c>
      <x:c r="C9" s="81" t="str">
        <x:v>timeline</x:v>
      </x:c>
      <x:c r="D9" s="81" t="str">
        <x:v>2026-06</x:v>
      </x:c>
      <x:c r="E9" s="81" t="str">
        <x:v>docs/business/Vamo_Roadmap.docx</x:v>
      </x:c>
      <x:c r="F9" s="81" t="str">
        <x:v>Supports keeping operator/media-heavy revenue out of the first 12 months unless scenario says otherwise.</x:v>
      </x:c>
    </x:row>
    <x:row r="10">
      <x:c r="A10" s="81" t="str">
        <x:v>Currency convention</x:v>
      </x:c>
      <x:c r="B10" s="81" t="str">
        <x:v>USD</x:v>
      </x:c>
      <x:c r="C10" s="81" t="str">
        <x:v>currency</x:v>
      </x:c>
      <x:c r="D10" s="81" t="str">
        <x:v>2026-06-20</x:v>
      </x:c>
      <x:c r="E10" s="81" t="str">
        <x:v>Existing workbook convention</x:v>
      </x:c>
      <x:c r="F10" s="81" t="str">
        <x:v>Original financial model uses dollar-denominated operating assumptions.</x:v>
      </x:c>
    </x:row>
    <x:row r="11">
      <x:c r="A11" s="81" t="str">
        <x:v>Version note</x:v>
      </x:c>
      <x:c r="B11" s="81" t="str">
        <x:v>v1.0</x:v>
      </x:c>
      <x:c r="C11" s="81" t="str">
        <x:v>model version</x:v>
      </x:c>
      <x:c r="D11" s="81" t="str">
        <x:v>2026-06-20</x:v>
      </x:c>
      <x:c r="E11" s="81" t="str">
        <x:v>Codex-generated companion workbook</x:v>
      </x:c>
      <x:c r="F11" s="81" t="str">
        <x:v>Created as a companion P&amp;L projection, not a replacement for the 36-month model.</x:v>
      </x:c>
    </x:row>
    <x:row r="12">
      <x:c r="A12" s="81" t="str">
        <x:v>Source of truth</x:v>
      </x:c>
      <x:c r="B12" s="81" t="str">
        <x:v>36-month model</x:v>
      </x:c>
      <x:c r="C12" s="81" t="str">
        <x:v>workbook</x:v>
      </x:c>
      <x:c r="D12" s="81" t="str">
        <x:v>2026-06-20</x:v>
      </x:c>
      <x:c r="E12" s="81" t="str">
        <x:v>docs/business/Vamo_Financial_Model.xlsx</x:v>
      </x:c>
      <x:c r="F12" s="81" t="str">
        <x:v>Update full business economics there; use this workbook for 12-month P&amp;L/readiness review.</x:v>
      </x:c>
    </x:row>
    <x:row r="13">
      <x:c r="A13" s="82" t="str">
        <x:v>Latest docs</x:v>
      </x:c>
      <x:c r="B13" s="82" t="str">
        <x:v>Cycle 2 hardening / media controls</x:v>
      </x:c>
      <x:c r="C13" s="82" t="str">
        <x:v>qualitative</x:v>
      </x:c>
      <x:c r="D13" s="82" t="str">
        <x:v>2026-06-20</x:v>
      </x:c>
      <x:c r="E13" s="82" t="str">
        <x:v>docs/operations and docs/architecture</x:v>
      </x:c>
      <x:c r="F13" s="82" t="str">
        <x:v>Scaling gates reflect DR, Crashlytics, App Links, email fallback, staging, and storagePath cautions.</x:v>
      </x:c>
    </x:row>
  </x:sheetData>
  <x:mergeCells>
    <x:mergeCell ref="A1:M1"/>
    <x:mergeCell ref="A2:M2"/>
  </x:mergeCells>
  <x:pageMargins left="0.7" right="0.7" top="0.75" bottom="0.75" header="0.3" footer="0.3"/>
</x:worksheet>
</file>