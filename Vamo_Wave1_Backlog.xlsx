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lice summary" sheetId="2" state="visible" r:id="rId4"/>
    <sheet name="Sprint summary" sheetId="3" state="visible" r:id="rId5"/>
    <sheet name="Acceptance coverage" sheetId="4" state="visible" r:id="rId6"/>
  </sheets>
  <definedNames>
    <definedName function="false" hidden="true" localSheetId="0" name="_xlnm._FilterDatabase" vbProcedure="false">Backlog!$A$1:$L$1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<sst xmlns="http://schemas.openxmlformats.org/spreadsheetml/2006/main" count="655" uniqueCount="316">
  <si>
    <t xml:space="preserve">Slice</t>
  </si>
  <si>
    <t xml:space="preserve">Milestone</t>
  </si>
  <si>
    <t xml:space="preserve">ID</t>
  </si>
  <si>
    <t xml:space="preserve">Epic</t>
  </si>
  <si>
    <t xml:space="preserve">Task</t>
  </si>
  <si>
    <t xml:space="preserve">Description</t>
  </si>
  <si>
    <t xml:space="preserve">Est (days)</t>
  </si>
  <si>
    <t xml:space="preserve">Depends on</t>
  </si>
  <si>
    <t xml:space="preserve">Sprint</t>
  </si>
  <si>
    <t xml:space="preserve">Priority</t>
  </si>
  <si>
    <t xml:space="preserve">Acceptance</t>
  </si>
  <si>
    <t xml:space="preserve">Status</t>
  </si>
  <si>
    <t xml:space="preserve">Spine</t>
  </si>
  <si>
    <t xml:space="preserve">T1.1</t>
  </si>
  <si>
    <t xml:space="preserve">1 Supabase backend</t>
  </si>
  <si>
    <t xml:space="preserve">Create Supabase project + dev env</t>
  </si>
  <si>
    <t xml:space="preserve">Spin up project; configure env keys; install Supabase CLI; set up migrations folder.</t>
  </si>
  <si>
    <t xml:space="preserve">-</t>
  </si>
  <si>
    <t xml:space="preserve">A: Foundations</t>
  </si>
  <si>
    <t xml:space="preserve">P0</t>
  </si>
  <si>
    <t xml:space="preserve">Prereq for AC3</t>
  </si>
  <si>
    <t xml:space="preserve">Not started</t>
  </si>
  <si>
    <t xml:space="preserve">T1.2</t>
  </si>
  <si>
    <t xml:space="preserve">Run Wave-1 schema</t>
  </si>
  <si>
    <t xml:space="preserve">Apply vamo_wave1_schema.sql; verify tables, trip_balances view, is_trip_member() + join_trip() created.</t>
  </si>
  <si>
    <t xml:space="preserve">AC3</t>
  </si>
  <si>
    <t xml:space="preserve">T1.3</t>
  </si>
  <si>
    <t xml:space="preserve">Configure auth providers</t>
  </si>
  <si>
    <t xml:space="preserve">Enable email, Apple, Google, phone sign-in.</t>
  </si>
  <si>
    <t xml:space="preserve">Screen 1</t>
  </si>
  <si>
    <t xml:space="preserve">T1.4</t>
  </si>
  <si>
    <t xml:space="preserve">Profile-creation trigger</t>
  </si>
  <si>
    <t xml:space="preserve">On signup, trigger inserts profiles row; verify it fires.</t>
  </si>
  <si>
    <t xml:space="preserve">T1.2;T1.3</t>
  </si>
  <si>
    <t xml:space="preserve">T1.6</t>
  </si>
  <si>
    <t xml:space="preserve">RLS validation pass</t>
  </si>
  <si>
    <t xml:space="preserve">Use Supabase RLS tester: confirm a non-member cannot read a trip.</t>
  </si>
  <si>
    <t xml:space="preserve">T2.1</t>
  </si>
  <si>
    <t xml:space="preserve">2 Flutter app_core</t>
  </si>
  <si>
    <t xml:space="preserve">Init Flutter monorepo</t>
  </si>
  <si>
    <t xml:space="preserve">Set up app + app_core + feature_split packages (melos).</t>
  </si>
  <si>
    <t xml:space="preserve">Build order step 2</t>
  </si>
  <si>
    <t xml:space="preserve">T2.2</t>
  </si>
  <si>
    <t xml:space="preserve">Supabase client + session</t>
  </si>
  <si>
    <t xml:space="preserve">Init client; session handling; secure token storage.</t>
  </si>
  <si>
    <t xml:space="preserve">T2.1;T1.3</t>
  </si>
  <si>
    <t xml:space="preserve">T2.3</t>
  </si>
  <si>
    <t xml:space="preserve">Riverpod + router</t>
  </si>
  <si>
    <t xml:space="preserve">Provider scaffolding + go_router navigation.</t>
  </si>
  <si>
    <t xml:space="preserve">T2.4</t>
  </si>
  <si>
    <t xml:space="preserve">Design system</t>
  </si>
  <si>
    <t xml:space="preserve">Teal/sand theme, typography, core components, 'Si va?' styling.</t>
  </si>
  <si>
    <t xml:space="preserve">Brand</t>
  </si>
  <si>
    <t xml:space="preserve">T2.6</t>
  </si>
  <si>
    <t xml:space="preserve">Analytics + entitlement stub</t>
  </si>
  <si>
    <t xml:space="preserve">PostHog wrapper with the 7 events; wire entitlement check stub.</t>
  </si>
  <si>
    <t xml:space="preserve">AC6</t>
  </si>
  <si>
    <t xml:space="preserve">T2.7</t>
  </si>
  <si>
    <t xml:space="preserve">i18n setup</t>
  </si>
  <si>
    <t xml:space="preserve">Externalize strings from the start.</t>
  </si>
  <si>
    <t xml:space="preserve">Non-functional</t>
  </si>
  <si>
    <t xml:space="preserve">T3.1</t>
  </si>
  <si>
    <t xml:space="preserve">3 Auth + trips</t>
  </si>
  <si>
    <t xml:space="preserve">Auth / onboarding screen</t>
  </si>
  <si>
    <t xml:space="preserve">Continue with Apple/Google/email/phone wired to Supabase.</t>
  </si>
  <si>
    <t xml:space="preserve">T2.2;T2.3;T1.3</t>
  </si>
  <si>
    <t xml:space="preserve">B: Core split flow</t>
  </si>
  <si>
    <t xml:space="preserve">Screen 1; AC1,2</t>
  </si>
  <si>
    <t xml:space="preserve">T3.2</t>
  </si>
  <si>
    <t xml:space="preserve">Trips list + empty state</t>
  </si>
  <si>
    <t xml:space="preserve">List solo+group trips together; empty state is the 'Si va?' hook.</t>
  </si>
  <si>
    <t xml:space="preserve">T2.5;T3.1</t>
  </si>
  <si>
    <t xml:space="preserve">Screen 2; AC1,2</t>
  </si>
  <si>
    <t xml:space="preserve">T2.5</t>
  </si>
  <si>
    <t xml:space="preserve">Drift local DB</t>
  </si>
  <si>
    <t xml:space="preserve">Mirror trips, trip_members, expenses, expense_shares locally as UI source of truth.</t>
  </si>
  <si>
    <t xml:space="preserve">AC4</t>
  </si>
  <si>
    <t xml:space="preserve">T3.3</t>
  </si>
  <si>
    <t xml:space="preserve">Create trip</t>
  </si>
  <si>
    <t xml:space="preserve">Solo vs invite; name, destination, dates, base currency. Fire trip_created.</t>
  </si>
  <si>
    <t xml:space="preserve">Screen 3; AC1,2,6</t>
  </si>
  <si>
    <t xml:space="preserve">T4.1</t>
  </si>
  <si>
    <t xml:space="preserve">4 Members + invite</t>
  </si>
  <si>
    <t xml:space="preserve">Trip home hub</t>
  </si>
  <si>
    <t xml:space="preserve">Tabs Expenses/Balances/Members; hide Balances for solo trips.</t>
  </si>
  <si>
    <t xml:space="preserve">Screen 4</t>
  </si>
  <si>
    <t xml:space="preserve">T5.1</t>
  </si>
  <si>
    <t xml:space="preserve">5 Expenses + FX</t>
  </si>
  <si>
    <t xml:space="preserve">Add expense screen</t>
  </si>
  <si>
    <t xml:space="preserve">Amount+currency, payer, split equal/custom, description, category, date.</t>
  </si>
  <si>
    <t xml:space="preserve">Screen 5; AC2</t>
  </si>
  <si>
    <t xml:space="preserve">T5.2</t>
  </si>
  <si>
    <t xml:space="preserve">Shares + invariant</t>
  </si>
  <si>
    <t xml:space="preserve">Write expense_shares; enforce sum(share_cents)==base_cents on write.</t>
  </si>
  <si>
    <t xml:space="preserve">AC2</t>
  </si>
  <si>
    <t xml:space="preserve">T6.1</t>
  </si>
  <si>
    <t xml:space="preserve">6 Balances + settle-up</t>
  </si>
  <si>
    <t xml:space="preserve">settleUp() engine</t>
  </si>
  <si>
    <t xml:space="preserve">Deterministic minimal-transaction settle-up, integer cents.</t>
  </si>
  <si>
    <t xml:space="preserve">AC5</t>
  </si>
  <si>
    <t xml:space="preserve">T6.2</t>
  </si>
  <si>
    <t xml:space="preserve">Settle-up unit tests</t>
  </si>
  <si>
    <t xml:space="preserve">Fixtures: equal, custom, multi-payer, multi-currency, 3-person cycle.</t>
  </si>
  <si>
    <t xml:space="preserve">T6.3</t>
  </si>
  <si>
    <t xml:space="preserve">Balances screen</t>
  </si>
  <si>
    <t xml:space="preserve">Read trip_balances -&gt; net per member; render minimal 'X pays Y' list.</t>
  </si>
  <si>
    <t xml:space="preserve">T6.1;T5.2</t>
  </si>
  <si>
    <t xml:space="preserve">Screen 6; AC2</t>
  </si>
  <si>
    <t xml:space="preserve">T6.4</t>
  </si>
  <si>
    <t xml:space="preserve">Mark settled + deep-links</t>
  </si>
  <si>
    <t xml:space="preserve">settlements row status=marked, optimistic update, deep-link Venmo/PayPal/Wise prefilled. Fire settle_marked.</t>
  </si>
  <si>
    <t xml:space="preserve">Screen 6; AC2,6</t>
  </si>
  <si>
    <t xml:space="preserve">T6.5</t>
  </si>
  <si>
    <t xml:space="preserve">Confirm settlement</t>
  </si>
  <si>
    <t xml:space="preserve">Recipient confirms (status=confirmed). Fire settle_confirmed.</t>
  </si>
  <si>
    <t xml:space="preserve">AC2,6</t>
  </si>
  <si>
    <t xml:space="preserve">Multiplayer</t>
  </si>
  <si>
    <t xml:space="preserve">T4.2</t>
  </si>
  <si>
    <t xml:space="preserve">Members tab + invite link</t>
  </si>
  <si>
    <t xml:space="preserve">Insert invites row; share https://vamo.app/j/&lt;token&gt;. Fire member_invited.</t>
  </si>
  <si>
    <t xml:space="preserve">Screen 7; AC6</t>
  </si>
  <si>
    <t xml:space="preserve">T4.3</t>
  </si>
  <si>
    <t xml:space="preserve">Deep link + join_trip</t>
  </si>
  <si>
    <t xml:space="preserve">If installed call join_trip(token) and open trip; else route to store keeping token. Fire invite_accepted.</t>
  </si>
  <si>
    <t xml:space="preserve">Growth</t>
  </si>
  <si>
    <t xml:space="preserve">T1.7</t>
  </si>
  <si>
    <t xml:space="preserve">FX rates daily cache</t>
  </si>
  <si>
    <t xml:space="preserve">Edge function / scheduled fetch of exchangerate.host, cached once/day.</t>
  </si>
  <si>
    <t xml:space="preserve">T5.3</t>
  </si>
  <si>
    <t xml:space="preserve">FX snapshot on expense</t>
  </si>
  <si>
    <t xml:space="preserve">Non-base currency: fetch day rate, store base_cents + fx_rate + original. Fire expense_added.</t>
  </si>
  <si>
    <t xml:space="preserve">T5.1;T1.7</t>
  </si>
  <si>
    <t xml:space="preserve">AC2,5,6</t>
  </si>
  <si>
    <t xml:space="preserve">T1.5</t>
  </si>
  <si>
    <t xml:space="preserve">Storage buckets + signed URLs</t>
  </si>
  <si>
    <t xml:space="preserve">Private buckets for avatars + snapshot images; signed-URL access policy.</t>
  </si>
  <si>
    <t xml:space="preserve">T7.1</t>
  </si>
  <si>
    <t xml:space="preserve">7 Snapshot share</t>
  </si>
  <si>
    <t xml:space="preserve">Compose snapshot card</t>
  </si>
  <si>
    <t xml:space="preserve">Trip name, dates, total, avatars, teal/sand background, Vamo wordmark.</t>
  </si>
  <si>
    <t xml:space="preserve">T2.4;T6.3</t>
  </si>
  <si>
    <t xml:space="preserve">C: Growth + ship</t>
  </si>
  <si>
    <t xml:space="preserve">Screen 9; AC1</t>
  </si>
  <si>
    <t xml:space="preserve">T7.2</t>
  </si>
  <si>
    <t xml:space="preserve">Rasterize + share</t>
  </si>
  <si>
    <t xml:space="preserve">RenderRepaintBoundary -&gt; PNG -&gt; share sheet; upload to private bucket + signed URL. Fire snapshot_shared.</t>
  </si>
  <si>
    <t xml:space="preserve">T7.1;T1.5</t>
  </si>
  <si>
    <t xml:space="preserve">Screen 9; AC1,6</t>
  </si>
  <si>
    <t xml:space="preserve">T8.1</t>
  </si>
  <si>
    <t xml:space="preserve">8 Solo capture</t>
  </si>
  <si>
    <t xml:space="preserve">Solo capture screen</t>
  </si>
  <si>
    <t xml:space="preserve">Title, notes, photos; feeds the snapshot.</t>
  </si>
  <si>
    <t xml:space="preserve">T4.1;T1.5</t>
  </si>
  <si>
    <t xml:space="preserve">Screen 8; AC1</t>
  </si>
  <si>
    <t xml:space="preserve">Hardening</t>
  </si>
  <si>
    <t xml:space="preserve">T9.1</t>
  </si>
  <si>
    <t xml:space="preserve">9 Offline + sync</t>
  </si>
  <si>
    <t xml:space="preserve">Optimistic writes + sync worker</t>
  </si>
  <si>
    <t xml:space="preserve">Queue writes; reconcile to Supabase, last-write-wins per field.</t>
  </si>
  <si>
    <t xml:space="preserve">T2.5;T5.2</t>
  </si>
  <si>
    <t xml:space="preserve">T9.2</t>
  </si>
  <si>
    <t xml:space="preserve">Realtime per-trip channel</t>
  </si>
  <si>
    <t xml:space="preserve">Subscribe per open trip so co-editors see live updates.</t>
  </si>
  <si>
    <t xml:space="preserve">Key flows</t>
  </si>
  <si>
    <t xml:space="preserve">T10.1</t>
  </si>
  <si>
    <t xml:space="preserve">10 Polish + ship</t>
  </si>
  <si>
    <t xml:space="preserve">Settings screen</t>
  </si>
  <si>
    <t xml:space="preserve">Display name, base currency, billing placeholder / entitlement check.</t>
  </si>
  <si>
    <t xml:space="preserve">Screen 10</t>
  </si>
  <si>
    <t xml:space="preserve">T10.2</t>
  </si>
  <si>
    <t xml:space="preserve">Empty + error states</t>
  </si>
  <si>
    <t xml:space="preserve">Polish empty states ('Si va?'), error handling, microcopy.</t>
  </si>
  <si>
    <t xml:space="preserve">T7.2;T8.1</t>
  </si>
  <si>
    <t xml:space="preserve">Screen 2</t>
  </si>
  <si>
    <t xml:space="preserve">T10.3</t>
  </si>
  <si>
    <t xml:space="preserve">Analytics QA</t>
  </si>
  <si>
    <t xml:space="preserve">Verify all 7 PostHog events fire correctly end-to-end.</t>
  </si>
  <si>
    <t xml:space="preserve">T10.4</t>
  </si>
  <si>
    <t xml:space="preserve">RLS QA pass</t>
  </si>
  <si>
    <t xml:space="preserve">Re-run RLS tester end-to-end across real flows.</t>
  </si>
  <si>
    <t xml:space="preserve">T10.5</t>
  </si>
  <si>
    <t xml:space="preserve">Basic push notifications</t>
  </si>
  <si>
    <t xml:space="preserve">Minimal push wiring.</t>
  </si>
  <si>
    <t xml:space="preserve">Stretch</t>
  </si>
  <si>
    <t xml:space="preserve">T10.6</t>
  </si>
  <si>
    <t xml:space="preserve">Ship to TestFlight / Play internal</t>
  </si>
  <si>
    <t xml:space="preserve">Build, sign, upload internal test tracks.</t>
  </si>
  <si>
    <t xml:space="preserve">T10.2;T10.3;T10.4</t>
  </si>
  <si>
    <t xml:space="preserve">Wave-1 done</t>
  </si>
  <si>
    <t xml:space="preserve">Signals</t>
  </si>
  <si>
    <t xml:space="preserve">T11.1</t>
  </si>
  <si>
    <t xml:space="preserve">11 Product signals</t>
  </si>
  <si>
    <t xml:space="preserve">screen_viewed events</t>
  </si>
  <si>
    <t xml:space="preserve">go_router observer fires screen_viewed with screen name on every navigation.</t>
  </si>
  <si>
    <t xml:space="preserve">D: Signals</t>
  </si>
  <si>
    <t xml:space="preserve">P1</t>
  </si>
  <si>
    <t xml:space="preserve">AC7</t>
  </si>
  <si>
    <t xml:space="preserve">T11.2</t>
  </si>
  <si>
    <t xml:space="preserve">error/empty state events</t>
  </si>
  <si>
    <t xml:space="preserve">AppErrorState fires error_shown (screen, kind); AppEmptyState fires empty_state_shown.</t>
  </si>
  <si>
    <t xml:space="preserve">T11.3</t>
  </si>
  <si>
    <t xml:space="preserve">FlowTracker + flow_abandoned</t>
  </si>
  <si>
    <t xml:space="preserve">Track add_expense/create_trip/invite flows; fire flow_abandoned with elapsed_ms on dispose-if-incomplete.</t>
  </si>
  <si>
    <t xml:space="preserve">T11.4</t>
  </si>
  <si>
    <t xml:space="preserve">Intention doors (3) + notify me</t>
  </si>
  <si>
    <t xml:space="preserve">plus/recap/map interest_tapped events on coming-soon doors; optional notify_me_opted_in sheet. Max 3 doors, clearly labelled.</t>
  </si>
  <si>
    <t xml:space="preserve">T2.6;T10.1</t>
  </si>
  <si>
    <t xml:space="preserve">T11.5</t>
  </si>
  <si>
    <t xml:space="preserve">Suggest a feature</t>
  </si>
  <si>
    <t xml:space="preserve">Apply 0006_suggestions.sql; Settings entry + form (text&lt;=500, category); insert via repository; suggestion_submitted event (category only).</t>
  </si>
  <si>
    <t xml:space="preserve">T1.2;T10.1</t>
  </si>
  <si>
    <t xml:space="preserve">T11.6</t>
  </si>
  <si>
    <t xml:space="preserve">Signals QA</t>
  </si>
  <si>
    <t xml:space="preserve">All 8b events visible in PostHog; suggestions RLS verified (insert/read own only; non-owner blocked).</t>
  </si>
  <si>
    <t xml:space="preserve">T11.1;T11.2;T11.3;T11.4;T11.5;T10.3</t>
  </si>
  <si>
    <t xml:space="preserve">T11.7</t>
  </si>
  <si>
    <t xml:space="preserve">action_failed event</t>
  </si>
  <si>
    <t xml:space="preserve">Structured failure event on user-initiated writes: screen, action, kind, sanitized code (no raw exception text). Wire into create trip / add expense / settle / suggest catch blocks.</t>
  </si>
  <si>
    <t xml:space="preserve">Themes</t>
  </si>
  <si>
    <t xml:space="preserve">T12.1</t>
  </si>
  <si>
    <t xml:space="preserve">12 Snapshot themes</t>
  </si>
  <si>
    <t xml:space="preserve">Theme pack model + assets</t>
  </si>
  <si>
    <t xml:space="preserve">ThemePack definition (bg, palette, typography accents) in app_core design; 5 packs: default teal/sand, ancient (Rome), beach, mountains, road trip. Watermark layer untouched and non-optional.</t>
  </si>
  <si>
    <t xml:space="preserve">Growth loop</t>
  </si>
  <si>
    <t xml:space="preserve">T12.2</t>
  </si>
  <si>
    <t xml:space="preserve">Keyword matcher</t>
  </si>
  <si>
    <t xml:space="preserve">Map trip title/destination keywords to a pack (it/en keyword lists; fallback default). Pure function + unit tests.</t>
  </si>
  <si>
    <t xml:space="preserve">T12.3</t>
  </si>
  <si>
    <t xml:space="preserve">Themed snapshot render + event</t>
  </si>
  <si>
    <t xml:space="preserve">Snapshot card consumes matched pack; manual pack picker stub behind entitlement (premium later); fire snapshot_shared with theme property.</t>
  </si>
  <si>
    <t xml:space="preserve">T12.1;T12.2</t>
  </si>
  <si>
    <t xml:space="preserve">I18n</t>
  </si>
  <si>
    <t xml:space="preserve">T13.1</t>
  </si>
  <si>
    <t xml:space="preserve">13 I18n readiness</t>
  </si>
  <si>
    <t xml:space="preserve">Directional layout audit</t>
  </si>
  <si>
    <t xml:space="preserve">Sweep layouts: EdgeInsetsDirectional/AlignmentDirectional/start-end; directional icons. Watermark position deliberately fixed.</t>
  </si>
  <si>
    <t xml:space="preserve">T13.2</t>
  </si>
  <si>
    <t xml:space="preserve">Locale infrastructure</t>
  </si>
  <si>
    <t xml:space="preserve">localizationsDelegates + supportedLocales (en,it + ar,he,zh,hi,ja,ru placeholders); dev RTL/pseudo-locale toggle.</t>
  </si>
  <si>
    <t xml:space="preserve">T13.3</t>
  </si>
  <si>
    <t xml:space="preserve">Bidi-safe money formatting</t>
  </si>
  <si>
    <t xml:space="preserve">Unicode directional isolates around amounts in money_format + Arabic-context tests. Western digits for money everywhere.</t>
  </si>
  <si>
    <t xml:space="preserve">T13.4</t>
  </si>
  <si>
    <t xml:space="preserve">RTL goldens</t>
  </si>
  <si>
    <t xml:space="preserve">Snapshot card + trip home + expenses under Directionality.rtl/ar; lock watermark mirroring decision.</t>
  </si>
  <si>
    <t xml:space="preserve">T13.1;T13.2</t>
  </si>
  <si>
    <t xml:space="preserve">T13.5</t>
  </si>
  <si>
    <t xml:space="preserve">Script smoke tests</t>
  </si>
  <si>
    <t xml:space="preserve">CJK/Devanagari/Cyrillic render checks; Hindi digit grouping (lakh); locale dates.</t>
  </si>
  <si>
    <t xml:space="preserve">P2</t>
  </si>
  <si>
    <t xml:space="preserve">T13.6</t>
  </si>
  <si>
    <t xml:space="preserve">Safe error presentation sweep</t>
  </si>
  <si>
    <t xml:space="preserve">showActionError helper in app_core: fires action_failed + shows catalogued message by kind (network/auth/server/unknown); replace ALL raw $e SnackBars and error texts (create trip, add expense, suggest, settings, trip home, join, capture, snapshot, members load); messages from i18n catalogue; debug builds may append sanitized code; lint/test guard that no UI string interpolates an exception.</t>
  </si>
  <si>
    <t xml:space="preserve">TOTAL effort (P0 + stretch)</t>
  </si>
  <si>
    <t xml:space="preserve">Demo outcome</t>
  </si>
  <si>
    <t xml:space="preserve">Tasks</t>
  </si>
  <si>
    <t xml:space="preserve">Effort (d)</t>
  </si>
  <si>
    <t xml:space="preserve">Cumulative (d)</t>
  </si>
  <si>
    <t xml:space="preserve">Log in -&gt; empty trips list</t>
  </si>
  <si>
    <t xml:space="preserve">T1.1, T1.2, T1.3, T1.4, T1.6, T2.1, T2.2, T2.3, T2.4, T2.6, T2.7, T3.1, T3.2</t>
  </si>
  <si>
    <t xml:space="preserve">Create trip -&gt; persists -&gt; trip home</t>
  </si>
  <si>
    <t xml:space="preserve">T2.5, T3.3, T4.1</t>
  </si>
  <si>
    <t xml:space="preserve">EUR30 dinner, equal split</t>
  </si>
  <si>
    <t xml:space="preserve">T5.1, T5.2</t>
  </si>
  <si>
    <t xml:space="preserve">Who owes whom + tests green</t>
  </si>
  <si>
    <t xml:space="preserve">T6.1, T6.2, T6.3</t>
  </si>
  <si>
    <t xml:space="preserve">Mark settle -&gt; Venmo -&gt; confirm</t>
  </si>
  <si>
    <t xml:space="preserve">T6.4, T6.5</t>
  </si>
  <si>
    <t xml:space="preserve">Second phone joins via link</t>
  </si>
  <si>
    <t xml:space="preserve">T4.2, T4.3</t>
  </si>
  <si>
    <t xml:space="preserve">$ expense on EUR trip</t>
  </si>
  <si>
    <t xml:space="preserve">T1.7, T5.3</t>
  </si>
  <si>
    <t xml:space="preserve">Share branded card</t>
  </si>
  <si>
    <t xml:space="preserve">T1.5, T7.1, T7.2</t>
  </si>
  <si>
    <t xml:space="preserve">Solo capture -&gt; snapshot</t>
  </si>
  <si>
    <t xml:space="preserve">Airplane mode + live co-edit</t>
  </si>
  <si>
    <t xml:space="preserve">T9.1, T9.2</t>
  </si>
  <si>
    <t xml:space="preserve">TestFlight / Play internal</t>
  </si>
  <si>
    <t xml:space="preserve">T10.1, T10.2, T10.3, T10.4, T10.5, T10.6</t>
  </si>
  <si>
    <t xml:space="preserve">Friction + intention + suggestions visible</t>
  </si>
  <si>
    <t xml:space="preserve">T11.1, T11.2, T11.3, T11.4, T11.5, T11.6, T11.7</t>
  </si>
  <si>
    <t xml:space="preserve">Trip title themes the share card</t>
  </si>
  <si>
    <t xml:space="preserve">T12.1, T12.2, T12.3</t>
  </si>
  <si>
    <t xml:space="preserve">RTL-correct + script-ready (no translations yet)</t>
  </si>
  <si>
    <t xml:space="preserve">T13.1-T13.6</t>
  </si>
  <si>
    <t xml:space="preserve">TOTAL</t>
  </si>
  <si>
    <t xml:space="preserve">Focus</t>
  </si>
  <si>
    <t xml:space="preserve">Goal</t>
  </si>
  <si>
    <t xml:space="preserve">Backend + app_core stood up</t>
  </si>
  <si>
    <t xml:space="preserve">T1.1-T1.7, T2.1-T2.7</t>
  </si>
  <si>
    <t xml:space="preserve">Supabase live with schema+RLS+auth; Flutter shell with design system, Drift, analytics.</t>
  </si>
  <si>
    <t xml:space="preserve">The SplitTrip loop end-to-end</t>
  </si>
  <si>
    <t xml:space="preserve">T3.1-T3.3, T4.1-T4.3, T5.1-T5.3, T6.1-T6.5</t>
  </si>
  <si>
    <t xml:space="preserve">Create/join trips, add multi-currency expenses, correct minimal settle-up, mark/confirm.</t>
  </si>
  <si>
    <t xml:space="preserve">Snapshot, solo, offline, ship</t>
  </si>
  <si>
    <t xml:space="preserve">T7.1-T7.2, T8.1, T9.1-T9.2, T10.1-T10.6</t>
  </si>
  <si>
    <t xml:space="preserve">Branded share + solo capture + offline sync; QA; ship to TestFlight / Play internal.</t>
  </si>
  <si>
    <t xml:space="preserve">Note: Sprints are rough capacity buckets. Use the Slice column on the Backlog as the day-to-day execution order.</t>
  </si>
  <si>
    <t xml:space="preserve">#</t>
  </si>
  <si>
    <t xml:space="preserve">Wave-1 'done' criterion</t>
  </si>
  <si>
    <t xml:space="preserve">Covered by</t>
  </si>
  <si>
    <t xml:space="preserve">AC1</t>
  </si>
  <si>
    <t xml:space="preserve">Solo user: create trip, capture, share branded snapshot</t>
  </si>
  <si>
    <t xml:space="preserve">T3.2/T3.3, T8.1, T7.1/T7.2</t>
  </si>
  <si>
    <t xml:space="preserve">Group: invite/join (incl. mid-trip), custom-split multi-currency expenses, minimal settle-up, mark/confirm</t>
  </si>
  <si>
    <t xml:space="preserve">T3.3, T4.2/T4.3, T5.1-T5.3, T6.3-T6.5</t>
  </si>
  <si>
    <t xml:space="preserve">Private by default, RLS-enforced (non-member can't read)</t>
  </si>
  <si>
    <t xml:space="preserve">T1.2, T1.5, T1.6, T10.4</t>
  </si>
  <si>
    <t xml:space="preserve">Works offline, syncs on reconnect</t>
  </si>
  <si>
    <t xml:space="preserve">T2.5, T9.1, T9.2</t>
  </si>
  <si>
    <t xml:space="preserve">Settle-up + FX math pass unit tests</t>
  </si>
  <si>
    <t xml:space="preserve">T1.7, T5.3, T6.1, T6.2</t>
  </si>
  <si>
    <t xml:space="preserve">All analytics events fire</t>
  </si>
  <si>
    <t xml:space="preserve">T2.6, T3.3, T4.2/T4.3, T5.3, T6.4/T6.5, T7.2, T10.3</t>
  </si>
  <si>
    <t xml:space="preserve">Product signals live: friction events, intention doors, suggestions (RLS-verified)</t>
  </si>
  <si>
    <t xml:space="preserve">T11.1-T11.7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</si>
</sst>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B3C3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3C3B"/>
      <name val="Arial"/>
      <family val="0"/>
      <charset val="1"/>
    </font>
    <font>
      <i val="true"/>
      <sz val="10"/>
      <color rgb="FFB07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C6B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7C7B"/>
        <bgColor rgb="FF008080"/>
      </patternFill>
    </fill>
    <fill>
      <patternFill patternType="solid">
        <fgColor rgb="FFE5F2F1"/>
        <bgColor rgb="FFEAF3E6"/>
      </patternFill>
    </fill>
    <fill>
      <patternFill patternType="solid">
        <fgColor rgb="FFFBEFD9"/>
        <bgColor rgb="FFF3EAF0"/>
      </patternFill>
    </fill>
    <fill>
      <patternFill patternType="solid">
        <fgColor rgb="FFEAF3E6"/>
        <bgColor rgb="FFE5F2F1"/>
      </patternFill>
    </fill>
    <fill>
      <patternFill patternType="solid">
        <fgColor rgb="FFF3EAF0"/>
        <bgColor rgb="FFEAF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E7C7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000"/>
      <rgbColor rgb="FF800080"/>
      <rgbColor rgb="FF0E7C7B"/>
      <rgbColor rgb="FFCCCCCC"/>
      <rgbColor rgb="FF808080"/>
      <rgbColor rgb="FF9999FF"/>
      <rgbColor rgb="FF993366"/>
      <rgbColor rgb="FFFBEFD9"/>
      <rgbColor rgb="FFE5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6"/>
      <rgbColor rgb="FFF3EA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B"/>
      <rgbColor rgb="FF969696"/>
      <rgbColor rgb="FF0B3C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7"/>
    <col collapsed="false" customWidth="true" hidden="false" outlineLevel="0" max="4" min="4" style="1" width="20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15"/>
    <col collapsed="false" customWidth="true" hidden="false" outlineLevel="0" max="12" min="12" style="1" width="13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3.25" hidden="false" customHeight="true" outlineLevel="0" collapsed="false">
      <c r="A2" s="3" t="n">
        <v>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 t="n">
        <v>0.5</v>
      </c>
      <c r="H2" s="4" t="s">
        <v>17</v>
      </c>
      <c r="I2" s="4" t="s">
        <v>18</v>
      </c>
      <c r="J2" s="6" t="s">
        <v>19</v>
      </c>
      <c r="K2" s="4" t="s">
        <v>20</v>
      </c>
      <c r="L2" s="4" t="s">
        <v>21</v>
      </c>
    </row>
    <row r="3" customFormat="false" ht="34.5" hidden="false" customHeight="true" outlineLevel="0" collapsed="false">
      <c r="A3" s="3" t="n">
        <v>0</v>
      </c>
      <c r="B3" s="4" t="s">
        <v>12</v>
      </c>
      <c r="C3" s="4" t="s">
        <v>22</v>
      </c>
      <c r="D3" s="4" t="s">
        <v>14</v>
      </c>
      <c r="E3" s="4" t="s">
        <v>23</v>
      </c>
      <c r="F3" s="4" t="s">
        <v>24</v>
      </c>
      <c r="G3" s="5" t="n">
        <v>0.5</v>
      </c>
      <c r="H3" s="4" t="s">
        <v>13</v>
      </c>
      <c r="I3" s="4" t="s">
        <v>18</v>
      </c>
      <c r="J3" s="6" t="s">
        <v>19</v>
      </c>
      <c r="K3" s="4" t="s">
        <v>25</v>
      </c>
      <c r="L3" s="4" t="s">
        <v>21</v>
      </c>
    </row>
    <row r="4" customFormat="false" ht="15" hidden="false" customHeight="true" outlineLevel="0" collapsed="false">
      <c r="A4" s="3" t="n">
        <v>0</v>
      </c>
      <c r="B4" s="4" t="s">
        <v>12</v>
      </c>
      <c r="C4" s="4" t="s">
        <v>26</v>
      </c>
      <c r="D4" s="4" t="s">
        <v>14</v>
      </c>
      <c r="E4" s="4" t="s">
        <v>27</v>
      </c>
      <c r="F4" s="4" t="s">
        <v>28</v>
      </c>
      <c r="G4" s="5" t="n">
        <v>1</v>
      </c>
      <c r="H4" s="4" t="s">
        <v>13</v>
      </c>
      <c r="I4" s="4" t="s">
        <v>18</v>
      </c>
      <c r="J4" s="6" t="s">
        <v>19</v>
      </c>
      <c r="K4" s="4" t="s">
        <v>29</v>
      </c>
      <c r="L4" s="4" t="s">
        <v>21</v>
      </c>
    </row>
    <row r="5" customFormat="false" ht="15" hidden="false" customHeight="true" outlineLevel="0" collapsed="false">
      <c r="A5" s="3" t="n">
        <v>0</v>
      </c>
      <c r="B5" s="4" t="s">
        <v>12</v>
      </c>
      <c r="C5" s="4" t="s">
        <v>30</v>
      </c>
      <c r="D5" s="4" t="s">
        <v>14</v>
      </c>
      <c r="E5" s="4" t="s">
        <v>31</v>
      </c>
      <c r="F5" s="4" t="s">
        <v>32</v>
      </c>
      <c r="G5" s="5" t="n">
        <v>0.5</v>
      </c>
      <c r="H5" s="4" t="s">
        <v>33</v>
      </c>
      <c r="I5" s="4" t="s">
        <v>18</v>
      </c>
      <c r="J5" s="6" t="s">
        <v>19</v>
      </c>
      <c r="K5" s="4" t="s">
        <v>29</v>
      </c>
      <c r="L5" s="4" t="s">
        <v>21</v>
      </c>
    </row>
    <row r="6" customFormat="false" ht="23.25" hidden="false" customHeight="true" outlineLevel="0" collapsed="false">
      <c r="A6" s="3" t="n">
        <v>0</v>
      </c>
      <c r="B6" s="4" t="s">
        <v>12</v>
      </c>
      <c r="C6" s="4" t="s">
        <v>34</v>
      </c>
      <c r="D6" s="4" t="s">
        <v>14</v>
      </c>
      <c r="E6" s="4" t="s">
        <v>35</v>
      </c>
      <c r="F6" s="4" t="s">
        <v>36</v>
      </c>
      <c r="G6" s="5" t="n">
        <v>0.5</v>
      </c>
      <c r="H6" s="4" t="s">
        <v>22</v>
      </c>
      <c r="I6" s="4" t="s">
        <v>18</v>
      </c>
      <c r="J6" s="6" t="s">
        <v>19</v>
      </c>
      <c r="K6" s="4" t="s">
        <v>25</v>
      </c>
      <c r="L6" s="4" t="s">
        <v>21</v>
      </c>
    </row>
    <row r="7" customFormat="false" ht="23.25" hidden="false" customHeight="true" outlineLevel="0" collapsed="false">
      <c r="A7" s="3" t="n">
        <v>0</v>
      </c>
      <c r="B7" s="4" t="s">
        <v>12</v>
      </c>
      <c r="C7" s="4" t="s">
        <v>37</v>
      </c>
      <c r="D7" s="4" t="s">
        <v>38</v>
      </c>
      <c r="E7" s="4" t="s">
        <v>39</v>
      </c>
      <c r="F7" s="4" t="s">
        <v>40</v>
      </c>
      <c r="G7" s="5" t="n">
        <v>0.5</v>
      </c>
      <c r="H7" s="4" t="s">
        <v>17</v>
      </c>
      <c r="I7" s="4" t="s">
        <v>18</v>
      </c>
      <c r="J7" s="6" t="s">
        <v>19</v>
      </c>
      <c r="K7" s="4" t="s">
        <v>41</v>
      </c>
      <c r="L7" s="4" t="s">
        <v>21</v>
      </c>
    </row>
    <row r="8" customFormat="false" ht="15" hidden="false" customHeight="true" outlineLevel="0" collapsed="false">
      <c r="A8" s="3" t="n">
        <v>0</v>
      </c>
      <c r="B8" s="4" t="s">
        <v>12</v>
      </c>
      <c r="C8" s="4" t="s">
        <v>42</v>
      </c>
      <c r="D8" s="4" t="s">
        <v>38</v>
      </c>
      <c r="E8" s="4" t="s">
        <v>43</v>
      </c>
      <c r="F8" s="4" t="s">
        <v>44</v>
      </c>
      <c r="G8" s="5" t="n">
        <v>0.5</v>
      </c>
      <c r="H8" s="4" t="s">
        <v>45</v>
      </c>
      <c r="I8" s="4" t="s">
        <v>18</v>
      </c>
      <c r="J8" s="6" t="s">
        <v>19</v>
      </c>
      <c r="K8" s="4" t="s">
        <v>29</v>
      </c>
      <c r="L8" s="4" t="s">
        <v>21</v>
      </c>
    </row>
    <row r="9" customFormat="false" ht="15" hidden="false" customHeight="true" outlineLevel="0" collapsed="false">
      <c r="A9" s="3" t="n">
        <v>0</v>
      </c>
      <c r="B9" s="4" t="s">
        <v>12</v>
      </c>
      <c r="C9" s="4" t="s">
        <v>46</v>
      </c>
      <c r="D9" s="4" t="s">
        <v>38</v>
      </c>
      <c r="E9" s="4" t="s">
        <v>47</v>
      </c>
      <c r="F9" s="4" t="s">
        <v>48</v>
      </c>
      <c r="G9" s="5" t="n">
        <v>0.5</v>
      </c>
      <c r="H9" s="4" t="s">
        <v>37</v>
      </c>
      <c r="I9" s="4" t="s">
        <v>18</v>
      </c>
      <c r="J9" s="6" t="s">
        <v>19</v>
      </c>
      <c r="K9" s="4" t="s">
        <v>17</v>
      </c>
      <c r="L9" s="4" t="s">
        <v>21</v>
      </c>
    </row>
    <row r="10" customFormat="false" ht="23.25" hidden="false" customHeight="true" outlineLevel="0" collapsed="false">
      <c r="A10" s="3" t="n">
        <v>0</v>
      </c>
      <c r="B10" s="4" t="s">
        <v>12</v>
      </c>
      <c r="C10" s="4" t="s">
        <v>49</v>
      </c>
      <c r="D10" s="4" t="s">
        <v>38</v>
      </c>
      <c r="E10" s="4" t="s">
        <v>50</v>
      </c>
      <c r="F10" s="4" t="s">
        <v>51</v>
      </c>
      <c r="G10" s="5" t="n">
        <v>1</v>
      </c>
      <c r="H10" s="4" t="s">
        <v>37</v>
      </c>
      <c r="I10" s="4" t="s">
        <v>18</v>
      </c>
      <c r="J10" s="6" t="s">
        <v>19</v>
      </c>
      <c r="K10" s="4" t="s">
        <v>52</v>
      </c>
      <c r="L10" s="4" t="s">
        <v>21</v>
      </c>
    </row>
    <row r="11" customFormat="false" ht="23.25" hidden="false" customHeight="true" outlineLevel="0" collapsed="false">
      <c r="A11" s="3" t="n">
        <v>0</v>
      </c>
      <c r="B11" s="4" t="s">
        <v>12</v>
      </c>
      <c r="C11" s="4" t="s">
        <v>53</v>
      </c>
      <c r="D11" s="4" t="s">
        <v>38</v>
      </c>
      <c r="E11" s="4" t="s">
        <v>54</v>
      </c>
      <c r="F11" s="4" t="s">
        <v>55</v>
      </c>
      <c r="G11" s="5" t="n">
        <v>0.5</v>
      </c>
      <c r="H11" s="4" t="s">
        <v>37</v>
      </c>
      <c r="I11" s="4" t="s">
        <v>18</v>
      </c>
      <c r="J11" s="6" t="s">
        <v>19</v>
      </c>
      <c r="K11" s="4" t="s">
        <v>56</v>
      </c>
      <c r="L11" s="4" t="s">
        <v>21</v>
      </c>
    </row>
    <row r="12" customFormat="false" ht="15" hidden="false" customHeight="true" outlineLevel="0" collapsed="false">
      <c r="A12" s="3" t="n">
        <v>0</v>
      </c>
      <c r="B12" s="4" t="s">
        <v>12</v>
      </c>
      <c r="C12" s="4" t="s">
        <v>57</v>
      </c>
      <c r="D12" s="4" t="s">
        <v>38</v>
      </c>
      <c r="E12" s="4" t="s">
        <v>58</v>
      </c>
      <c r="F12" s="4" t="s">
        <v>59</v>
      </c>
      <c r="G12" s="5" t="n">
        <v>0.5</v>
      </c>
      <c r="H12" s="4" t="s">
        <v>37</v>
      </c>
      <c r="I12" s="4" t="s">
        <v>18</v>
      </c>
      <c r="J12" s="6" t="s">
        <v>19</v>
      </c>
      <c r="K12" s="4" t="s">
        <v>60</v>
      </c>
      <c r="L12" s="4" t="s">
        <v>21</v>
      </c>
    </row>
    <row r="13" customFormat="false" ht="23.25" hidden="false" customHeight="true" outlineLevel="0" collapsed="false">
      <c r="A13" s="3" t="n">
        <v>0</v>
      </c>
      <c r="B13" s="4" t="s">
        <v>12</v>
      </c>
      <c r="C13" s="4" t="s">
        <v>61</v>
      </c>
      <c r="D13" s="4" t="s">
        <v>62</v>
      </c>
      <c r="E13" s="4" t="s">
        <v>63</v>
      </c>
      <c r="F13" s="4" t="s">
        <v>64</v>
      </c>
      <c r="G13" s="5" t="n">
        <v>1</v>
      </c>
      <c r="H13" s="4" t="s">
        <v>65</v>
      </c>
      <c r="I13" s="4" t="s">
        <v>66</v>
      </c>
      <c r="J13" s="6" t="s">
        <v>19</v>
      </c>
      <c r="K13" s="4" t="s">
        <v>67</v>
      </c>
      <c r="L13" s="4" t="s">
        <v>21</v>
      </c>
    </row>
    <row r="14" customFormat="false" ht="23.25" hidden="false" customHeight="true" outlineLevel="0" collapsed="false">
      <c r="A14" s="3" t="n">
        <v>0</v>
      </c>
      <c r="B14" s="4" t="s">
        <v>12</v>
      </c>
      <c r="C14" s="4" t="s">
        <v>68</v>
      </c>
      <c r="D14" s="4" t="s">
        <v>62</v>
      </c>
      <c r="E14" s="4" t="s">
        <v>69</v>
      </c>
      <c r="F14" s="4" t="s">
        <v>70</v>
      </c>
      <c r="G14" s="5" t="n">
        <v>1</v>
      </c>
      <c r="H14" s="4" t="s">
        <v>71</v>
      </c>
      <c r="I14" s="4" t="s">
        <v>66</v>
      </c>
      <c r="J14" s="6" t="s">
        <v>19</v>
      </c>
      <c r="K14" s="4" t="s">
        <v>72</v>
      </c>
      <c r="L14" s="4" t="s">
        <v>21</v>
      </c>
    </row>
    <row r="15" customFormat="false" ht="23.25" hidden="false" customHeight="true" outlineLevel="0" collapsed="false">
      <c r="A15" s="3" t="n">
        <v>1</v>
      </c>
      <c r="B15" s="4" t="s">
        <v>12</v>
      </c>
      <c r="C15" s="4" t="s">
        <v>73</v>
      </c>
      <c r="D15" s="4" t="s">
        <v>38</v>
      </c>
      <c r="E15" s="4" t="s">
        <v>74</v>
      </c>
      <c r="F15" s="4" t="s">
        <v>75</v>
      </c>
      <c r="G15" s="5" t="n">
        <v>1</v>
      </c>
      <c r="H15" s="4" t="s">
        <v>37</v>
      </c>
      <c r="I15" s="4" t="s">
        <v>18</v>
      </c>
      <c r="J15" s="6" t="s">
        <v>19</v>
      </c>
      <c r="K15" s="4" t="s">
        <v>76</v>
      </c>
      <c r="L15" s="4" t="s">
        <v>21</v>
      </c>
    </row>
    <row r="16" customFormat="false" ht="23.25" hidden="false" customHeight="true" outlineLevel="0" collapsed="false">
      <c r="A16" s="3" t="n">
        <v>1</v>
      </c>
      <c r="B16" s="4" t="s">
        <v>12</v>
      </c>
      <c r="C16" s="4" t="s">
        <v>77</v>
      </c>
      <c r="D16" s="4" t="s">
        <v>62</v>
      </c>
      <c r="E16" s="4" t="s">
        <v>78</v>
      </c>
      <c r="F16" s="4" t="s">
        <v>79</v>
      </c>
      <c r="G16" s="5" t="n">
        <v>1</v>
      </c>
      <c r="H16" s="4" t="s">
        <v>68</v>
      </c>
      <c r="I16" s="4" t="s">
        <v>66</v>
      </c>
      <c r="J16" s="6" t="s">
        <v>19</v>
      </c>
      <c r="K16" s="4" t="s">
        <v>80</v>
      </c>
      <c r="L16" s="4" t="s">
        <v>21</v>
      </c>
    </row>
    <row r="17" customFormat="false" ht="23.25" hidden="false" customHeight="true" outlineLevel="0" collapsed="false">
      <c r="A17" s="3" t="n">
        <v>1</v>
      </c>
      <c r="B17" s="4" t="s">
        <v>12</v>
      </c>
      <c r="C17" s="4" t="s">
        <v>81</v>
      </c>
      <c r="D17" s="4" t="s">
        <v>82</v>
      </c>
      <c r="E17" s="4" t="s">
        <v>83</v>
      </c>
      <c r="F17" s="4" t="s">
        <v>84</v>
      </c>
      <c r="G17" s="5" t="n">
        <v>1</v>
      </c>
      <c r="H17" s="4" t="s">
        <v>77</v>
      </c>
      <c r="I17" s="4" t="s">
        <v>66</v>
      </c>
      <c r="J17" s="6" t="s">
        <v>19</v>
      </c>
      <c r="K17" s="4" t="s">
        <v>85</v>
      </c>
      <c r="L17" s="4" t="s">
        <v>21</v>
      </c>
    </row>
    <row r="18" customFormat="false" ht="23.25" hidden="false" customHeight="true" outlineLevel="0" collapsed="false">
      <c r="A18" s="3" t="n">
        <v>2</v>
      </c>
      <c r="B18" s="4" t="s">
        <v>12</v>
      </c>
      <c r="C18" s="4" t="s">
        <v>86</v>
      </c>
      <c r="D18" s="4" t="s">
        <v>87</v>
      </c>
      <c r="E18" s="4" t="s">
        <v>88</v>
      </c>
      <c r="F18" s="4" t="s">
        <v>89</v>
      </c>
      <c r="G18" s="5" t="n">
        <v>1.5</v>
      </c>
      <c r="H18" s="4" t="s">
        <v>81</v>
      </c>
      <c r="I18" s="4" t="s">
        <v>66</v>
      </c>
      <c r="J18" s="6" t="s">
        <v>19</v>
      </c>
      <c r="K18" s="4" t="s">
        <v>90</v>
      </c>
      <c r="L18" s="4" t="s">
        <v>21</v>
      </c>
    </row>
    <row r="19" customFormat="false" ht="23.25" hidden="false" customHeight="true" outlineLevel="0" collapsed="false">
      <c r="A19" s="3" t="n">
        <v>2</v>
      </c>
      <c r="B19" s="4" t="s">
        <v>12</v>
      </c>
      <c r="C19" s="4" t="s">
        <v>91</v>
      </c>
      <c r="D19" s="4" t="s">
        <v>87</v>
      </c>
      <c r="E19" s="4" t="s">
        <v>92</v>
      </c>
      <c r="F19" s="4" t="s">
        <v>93</v>
      </c>
      <c r="G19" s="5" t="n">
        <v>0.5</v>
      </c>
      <c r="H19" s="4" t="s">
        <v>86</v>
      </c>
      <c r="I19" s="4" t="s">
        <v>66</v>
      </c>
      <c r="J19" s="6" t="s">
        <v>19</v>
      </c>
      <c r="K19" s="4" t="s">
        <v>94</v>
      </c>
      <c r="L19" s="4" t="s">
        <v>21</v>
      </c>
    </row>
    <row r="20" customFormat="false" ht="23.25" hidden="false" customHeight="true" outlineLevel="0" collapsed="false">
      <c r="A20" s="3" t="n">
        <v>3</v>
      </c>
      <c r="B20" s="4" t="s">
        <v>12</v>
      </c>
      <c r="C20" s="4" t="s">
        <v>95</v>
      </c>
      <c r="D20" s="4" t="s">
        <v>96</v>
      </c>
      <c r="E20" s="4" t="s">
        <v>97</v>
      </c>
      <c r="F20" s="4" t="s">
        <v>98</v>
      </c>
      <c r="G20" s="5" t="n">
        <v>0.5</v>
      </c>
      <c r="H20" s="4" t="s">
        <v>37</v>
      </c>
      <c r="I20" s="4" t="s">
        <v>66</v>
      </c>
      <c r="J20" s="6" t="s">
        <v>19</v>
      </c>
      <c r="K20" s="4" t="s">
        <v>99</v>
      </c>
      <c r="L20" s="4" t="s">
        <v>21</v>
      </c>
    </row>
    <row r="21" customFormat="false" ht="23.25" hidden="false" customHeight="true" outlineLevel="0" collapsed="false">
      <c r="A21" s="3" t="n">
        <v>3</v>
      </c>
      <c r="B21" s="4" t="s">
        <v>12</v>
      </c>
      <c r="C21" s="4" t="s">
        <v>100</v>
      </c>
      <c r="D21" s="4" t="s">
        <v>96</v>
      </c>
      <c r="E21" s="4" t="s">
        <v>101</v>
      </c>
      <c r="F21" s="4" t="s">
        <v>102</v>
      </c>
      <c r="G21" s="5" t="n">
        <v>0.5</v>
      </c>
      <c r="H21" s="4" t="s">
        <v>95</v>
      </c>
      <c r="I21" s="4" t="s">
        <v>66</v>
      </c>
      <c r="J21" s="6" t="s">
        <v>19</v>
      </c>
      <c r="K21" s="4" t="s">
        <v>99</v>
      </c>
      <c r="L21" s="4" t="s">
        <v>21</v>
      </c>
    </row>
    <row r="22" customFormat="false" ht="23.25" hidden="false" customHeight="true" outlineLevel="0" collapsed="false">
      <c r="A22" s="3" t="n">
        <v>3</v>
      </c>
      <c r="B22" s="4" t="s">
        <v>12</v>
      </c>
      <c r="C22" s="4" t="s">
        <v>103</v>
      </c>
      <c r="D22" s="4" t="s">
        <v>96</v>
      </c>
      <c r="E22" s="4" t="s">
        <v>104</v>
      </c>
      <c r="F22" s="4" t="s">
        <v>105</v>
      </c>
      <c r="G22" s="5" t="n">
        <v>1</v>
      </c>
      <c r="H22" s="4" t="s">
        <v>106</v>
      </c>
      <c r="I22" s="4" t="s">
        <v>66</v>
      </c>
      <c r="J22" s="6" t="s">
        <v>19</v>
      </c>
      <c r="K22" s="4" t="s">
        <v>107</v>
      </c>
      <c r="L22" s="4" t="s">
        <v>21</v>
      </c>
    </row>
    <row r="23" customFormat="false" ht="23.25" hidden="false" customHeight="true" outlineLevel="0" collapsed="false">
      <c r="A23" s="3" t="n">
        <v>4</v>
      </c>
      <c r="B23" s="4" t="s">
        <v>12</v>
      </c>
      <c r="C23" s="4" t="s">
        <v>108</v>
      </c>
      <c r="D23" s="4" t="s">
        <v>96</v>
      </c>
      <c r="E23" s="4" t="s">
        <v>109</v>
      </c>
      <c r="F23" s="4" t="s">
        <v>110</v>
      </c>
      <c r="G23" s="5" t="n">
        <v>1</v>
      </c>
      <c r="H23" s="4" t="s">
        <v>103</v>
      </c>
      <c r="I23" s="4" t="s">
        <v>66</v>
      </c>
      <c r="J23" s="6" t="s">
        <v>19</v>
      </c>
      <c r="K23" s="4" t="s">
        <v>111</v>
      </c>
      <c r="L23" s="4" t="s">
        <v>21</v>
      </c>
    </row>
    <row r="24" customFormat="false" ht="23.25" hidden="false" customHeight="true" outlineLevel="0" collapsed="false">
      <c r="A24" s="3" t="n">
        <v>4</v>
      </c>
      <c r="B24" s="4" t="s">
        <v>12</v>
      </c>
      <c r="C24" s="4" t="s">
        <v>112</v>
      </c>
      <c r="D24" s="4" t="s">
        <v>96</v>
      </c>
      <c r="E24" s="4" t="s">
        <v>113</v>
      </c>
      <c r="F24" s="4" t="s">
        <v>114</v>
      </c>
      <c r="G24" s="5" t="n">
        <v>0.5</v>
      </c>
      <c r="H24" s="4" t="s">
        <v>108</v>
      </c>
      <c r="I24" s="4" t="s">
        <v>66</v>
      </c>
      <c r="J24" s="6" t="s">
        <v>19</v>
      </c>
      <c r="K24" s="4" t="s">
        <v>115</v>
      </c>
      <c r="L24" s="4" t="s">
        <v>21</v>
      </c>
    </row>
    <row r="25" customFormat="false" ht="23.25" hidden="false" customHeight="true" outlineLevel="0" collapsed="false">
      <c r="A25" s="7" t="n">
        <v>5</v>
      </c>
      <c r="B25" s="8" t="s">
        <v>116</v>
      </c>
      <c r="C25" s="8" t="s">
        <v>117</v>
      </c>
      <c r="D25" s="8" t="s">
        <v>82</v>
      </c>
      <c r="E25" s="8" t="s">
        <v>118</v>
      </c>
      <c r="F25" s="8" t="s">
        <v>119</v>
      </c>
      <c r="G25" s="9" t="n">
        <v>1</v>
      </c>
      <c r="H25" s="8" t="s">
        <v>81</v>
      </c>
      <c r="I25" s="8" t="s">
        <v>66</v>
      </c>
      <c r="J25" s="10" t="s">
        <v>19</v>
      </c>
      <c r="K25" s="8" t="s">
        <v>120</v>
      </c>
      <c r="L25" s="8" t="s">
        <v>21</v>
      </c>
    </row>
    <row r="26" customFormat="false" ht="23.25" hidden="false" customHeight="true" outlineLevel="0" collapsed="false">
      <c r="A26" s="7" t="n">
        <v>5</v>
      </c>
      <c r="B26" s="8" t="s">
        <v>116</v>
      </c>
      <c r="C26" s="8" t="s">
        <v>121</v>
      </c>
      <c r="D26" s="8" t="s">
        <v>82</v>
      </c>
      <c r="E26" s="8" t="s">
        <v>122</v>
      </c>
      <c r="F26" s="8" t="s">
        <v>123</v>
      </c>
      <c r="G26" s="9" t="n">
        <v>1</v>
      </c>
      <c r="H26" s="8" t="s">
        <v>117</v>
      </c>
      <c r="I26" s="8" t="s">
        <v>66</v>
      </c>
      <c r="J26" s="10" t="s">
        <v>19</v>
      </c>
      <c r="K26" s="8" t="s">
        <v>115</v>
      </c>
      <c r="L26" s="8" t="s">
        <v>21</v>
      </c>
    </row>
    <row r="27" customFormat="false" ht="23.25" hidden="false" customHeight="true" outlineLevel="0" collapsed="false">
      <c r="A27" s="11" t="n">
        <v>6</v>
      </c>
      <c r="B27" s="12" t="s">
        <v>124</v>
      </c>
      <c r="C27" s="12" t="s">
        <v>125</v>
      </c>
      <c r="D27" s="12" t="s">
        <v>14</v>
      </c>
      <c r="E27" s="12" t="s">
        <v>126</v>
      </c>
      <c r="F27" s="12" t="s">
        <v>127</v>
      </c>
      <c r="G27" s="13" t="n">
        <v>0.5</v>
      </c>
      <c r="H27" s="12" t="s">
        <v>13</v>
      </c>
      <c r="I27" s="12" t="s">
        <v>18</v>
      </c>
      <c r="J27" s="14" t="s">
        <v>19</v>
      </c>
      <c r="K27" s="12" t="s">
        <v>99</v>
      </c>
      <c r="L27" s="12" t="s">
        <v>21</v>
      </c>
    </row>
    <row r="28" customFormat="false" ht="23.25" hidden="false" customHeight="true" outlineLevel="0" collapsed="false">
      <c r="A28" s="11" t="n">
        <v>6</v>
      </c>
      <c r="B28" s="12" t="s">
        <v>124</v>
      </c>
      <c r="C28" s="12" t="s">
        <v>128</v>
      </c>
      <c r="D28" s="12" t="s">
        <v>87</v>
      </c>
      <c r="E28" s="12" t="s">
        <v>129</v>
      </c>
      <c r="F28" s="12" t="s">
        <v>130</v>
      </c>
      <c r="G28" s="13" t="n">
        <v>0.5</v>
      </c>
      <c r="H28" s="12" t="s">
        <v>131</v>
      </c>
      <c r="I28" s="12" t="s">
        <v>66</v>
      </c>
      <c r="J28" s="14" t="s">
        <v>19</v>
      </c>
      <c r="K28" s="12" t="s">
        <v>132</v>
      </c>
      <c r="L28" s="12" t="s">
        <v>21</v>
      </c>
    </row>
    <row r="29" customFormat="false" ht="23.25" hidden="false" customHeight="true" outlineLevel="0" collapsed="false">
      <c r="A29" s="11" t="n">
        <v>7</v>
      </c>
      <c r="B29" s="12" t="s">
        <v>124</v>
      </c>
      <c r="C29" s="12" t="s">
        <v>133</v>
      </c>
      <c r="D29" s="12" t="s">
        <v>14</v>
      </c>
      <c r="E29" s="12" t="s">
        <v>134</v>
      </c>
      <c r="F29" s="12" t="s">
        <v>135</v>
      </c>
      <c r="G29" s="13" t="n">
        <v>0.5</v>
      </c>
      <c r="H29" s="12" t="s">
        <v>13</v>
      </c>
      <c r="I29" s="12" t="s">
        <v>18</v>
      </c>
      <c r="J29" s="14" t="s">
        <v>19</v>
      </c>
      <c r="K29" s="12" t="s">
        <v>25</v>
      </c>
      <c r="L29" s="12" t="s">
        <v>21</v>
      </c>
    </row>
    <row r="30" customFormat="false" ht="23.25" hidden="false" customHeight="true" outlineLevel="0" collapsed="false">
      <c r="A30" s="11" t="n">
        <v>7</v>
      </c>
      <c r="B30" s="12" t="s">
        <v>124</v>
      </c>
      <c r="C30" s="12" t="s">
        <v>136</v>
      </c>
      <c r="D30" s="12" t="s">
        <v>137</v>
      </c>
      <c r="E30" s="12" t="s">
        <v>138</v>
      </c>
      <c r="F30" s="12" t="s">
        <v>139</v>
      </c>
      <c r="G30" s="13" t="n">
        <v>1</v>
      </c>
      <c r="H30" s="12" t="s">
        <v>140</v>
      </c>
      <c r="I30" s="12" t="s">
        <v>141</v>
      </c>
      <c r="J30" s="14" t="s">
        <v>19</v>
      </c>
      <c r="K30" s="12" t="s">
        <v>142</v>
      </c>
      <c r="L30" s="12" t="s">
        <v>21</v>
      </c>
    </row>
    <row r="31" customFormat="false" ht="23.25" hidden="false" customHeight="true" outlineLevel="0" collapsed="false">
      <c r="A31" s="11" t="n">
        <v>7</v>
      </c>
      <c r="B31" s="12" t="s">
        <v>124</v>
      </c>
      <c r="C31" s="12" t="s">
        <v>143</v>
      </c>
      <c r="D31" s="12" t="s">
        <v>137</v>
      </c>
      <c r="E31" s="12" t="s">
        <v>144</v>
      </c>
      <c r="F31" s="12" t="s">
        <v>145</v>
      </c>
      <c r="G31" s="13" t="n">
        <v>0.5</v>
      </c>
      <c r="H31" s="12" t="s">
        <v>146</v>
      </c>
      <c r="I31" s="12" t="s">
        <v>141</v>
      </c>
      <c r="J31" s="14" t="s">
        <v>19</v>
      </c>
      <c r="K31" s="12" t="s">
        <v>147</v>
      </c>
      <c r="L31" s="12" t="s">
        <v>21</v>
      </c>
    </row>
    <row r="32" customFormat="false" ht="23.25" hidden="false" customHeight="true" outlineLevel="0" collapsed="false">
      <c r="A32" s="11" t="n">
        <v>8</v>
      </c>
      <c r="B32" s="12" t="s">
        <v>124</v>
      </c>
      <c r="C32" s="12" t="s">
        <v>148</v>
      </c>
      <c r="D32" s="12" t="s">
        <v>149</v>
      </c>
      <c r="E32" s="12" t="s">
        <v>150</v>
      </c>
      <c r="F32" s="12" t="s">
        <v>151</v>
      </c>
      <c r="G32" s="13" t="n">
        <v>1</v>
      </c>
      <c r="H32" s="12" t="s">
        <v>152</v>
      </c>
      <c r="I32" s="12" t="s">
        <v>141</v>
      </c>
      <c r="J32" s="14" t="s">
        <v>19</v>
      </c>
      <c r="K32" s="12" t="s">
        <v>153</v>
      </c>
      <c r="L32" s="12" t="s">
        <v>21</v>
      </c>
    </row>
    <row r="33" customFormat="false" ht="23.25" hidden="false" customHeight="true" outlineLevel="0" collapsed="false">
      <c r="A33" s="15" t="n">
        <v>9</v>
      </c>
      <c r="B33" s="16" t="s">
        <v>154</v>
      </c>
      <c r="C33" s="16" t="s">
        <v>155</v>
      </c>
      <c r="D33" s="16" t="s">
        <v>156</v>
      </c>
      <c r="E33" s="16" t="s">
        <v>157</v>
      </c>
      <c r="F33" s="16" t="s">
        <v>158</v>
      </c>
      <c r="G33" s="17" t="n">
        <v>1.5</v>
      </c>
      <c r="H33" s="16" t="s">
        <v>159</v>
      </c>
      <c r="I33" s="16" t="s">
        <v>141</v>
      </c>
      <c r="J33" s="18" t="s">
        <v>19</v>
      </c>
      <c r="K33" s="16" t="s">
        <v>76</v>
      </c>
      <c r="L33" s="16" t="s">
        <v>21</v>
      </c>
    </row>
    <row r="34" customFormat="false" ht="23.25" hidden="false" customHeight="true" outlineLevel="0" collapsed="false">
      <c r="A34" s="15" t="n">
        <v>9</v>
      </c>
      <c r="B34" s="16" t="s">
        <v>154</v>
      </c>
      <c r="C34" s="16" t="s">
        <v>160</v>
      </c>
      <c r="D34" s="16" t="s">
        <v>156</v>
      </c>
      <c r="E34" s="16" t="s">
        <v>161</v>
      </c>
      <c r="F34" s="16" t="s">
        <v>162</v>
      </c>
      <c r="G34" s="17" t="n">
        <v>0.5</v>
      </c>
      <c r="H34" s="16" t="s">
        <v>155</v>
      </c>
      <c r="I34" s="16" t="s">
        <v>141</v>
      </c>
      <c r="J34" s="18" t="s">
        <v>19</v>
      </c>
      <c r="K34" s="16" t="s">
        <v>163</v>
      </c>
      <c r="L34" s="16" t="s">
        <v>21</v>
      </c>
    </row>
    <row r="35" customFormat="false" ht="23.25" hidden="false" customHeight="true" outlineLevel="0" collapsed="false">
      <c r="A35" s="15" t="n">
        <v>10</v>
      </c>
      <c r="B35" s="16" t="s">
        <v>154</v>
      </c>
      <c r="C35" s="16" t="s">
        <v>164</v>
      </c>
      <c r="D35" s="16" t="s">
        <v>165</v>
      </c>
      <c r="E35" s="16" t="s">
        <v>166</v>
      </c>
      <c r="F35" s="16" t="s">
        <v>167</v>
      </c>
      <c r="G35" s="17" t="n">
        <v>0.5</v>
      </c>
      <c r="H35" s="16" t="s">
        <v>61</v>
      </c>
      <c r="I35" s="16" t="s">
        <v>141</v>
      </c>
      <c r="J35" s="18" t="s">
        <v>19</v>
      </c>
      <c r="K35" s="16" t="s">
        <v>168</v>
      </c>
      <c r="L35" s="16" t="s">
        <v>21</v>
      </c>
    </row>
    <row r="36" customFormat="false" ht="23.25" hidden="false" customHeight="true" outlineLevel="0" collapsed="false">
      <c r="A36" s="15" t="n">
        <v>10</v>
      </c>
      <c r="B36" s="16" t="s">
        <v>154</v>
      </c>
      <c r="C36" s="16" t="s">
        <v>169</v>
      </c>
      <c r="D36" s="16" t="s">
        <v>165</v>
      </c>
      <c r="E36" s="16" t="s">
        <v>170</v>
      </c>
      <c r="F36" s="16" t="s">
        <v>171</v>
      </c>
      <c r="G36" s="17" t="n">
        <v>0.5</v>
      </c>
      <c r="H36" s="16" t="s">
        <v>172</v>
      </c>
      <c r="I36" s="16" t="s">
        <v>141</v>
      </c>
      <c r="J36" s="18" t="s">
        <v>19</v>
      </c>
      <c r="K36" s="16" t="s">
        <v>173</v>
      </c>
      <c r="L36" s="16" t="s">
        <v>21</v>
      </c>
    </row>
    <row r="37" customFormat="false" ht="23.25" hidden="false" customHeight="true" outlineLevel="0" collapsed="false">
      <c r="A37" s="15" t="n">
        <v>10</v>
      </c>
      <c r="B37" s="16" t="s">
        <v>154</v>
      </c>
      <c r="C37" s="16" t="s">
        <v>174</v>
      </c>
      <c r="D37" s="16" t="s">
        <v>165</v>
      </c>
      <c r="E37" s="16" t="s">
        <v>175</v>
      </c>
      <c r="F37" s="16" t="s">
        <v>176</v>
      </c>
      <c r="G37" s="17" t="n">
        <v>0.5</v>
      </c>
      <c r="H37" s="16" t="s">
        <v>53</v>
      </c>
      <c r="I37" s="16" t="s">
        <v>141</v>
      </c>
      <c r="J37" s="18" t="s">
        <v>19</v>
      </c>
      <c r="K37" s="16" t="s">
        <v>56</v>
      </c>
      <c r="L37" s="16" t="s">
        <v>21</v>
      </c>
    </row>
    <row r="38" customFormat="false" ht="23.25" hidden="false" customHeight="true" outlineLevel="0" collapsed="false">
      <c r="A38" s="15" t="n">
        <v>10</v>
      </c>
      <c r="B38" s="16" t="s">
        <v>154</v>
      </c>
      <c r="C38" s="16" t="s">
        <v>177</v>
      </c>
      <c r="D38" s="16" t="s">
        <v>165</v>
      </c>
      <c r="E38" s="16" t="s">
        <v>178</v>
      </c>
      <c r="F38" s="16" t="s">
        <v>179</v>
      </c>
      <c r="G38" s="17" t="n">
        <v>0.5</v>
      </c>
      <c r="H38" s="16" t="s">
        <v>34</v>
      </c>
      <c r="I38" s="16" t="s">
        <v>141</v>
      </c>
      <c r="J38" s="18" t="s">
        <v>19</v>
      </c>
      <c r="K38" s="16" t="s">
        <v>25</v>
      </c>
      <c r="L38" s="16" t="s">
        <v>21</v>
      </c>
    </row>
    <row r="39" customFormat="false" ht="23.25" hidden="false" customHeight="true" outlineLevel="0" collapsed="false">
      <c r="A39" s="15" t="n">
        <v>10</v>
      </c>
      <c r="B39" s="16" t="s">
        <v>154</v>
      </c>
      <c r="C39" s="16" t="s">
        <v>180</v>
      </c>
      <c r="D39" s="16" t="s">
        <v>165</v>
      </c>
      <c r="E39" s="16" t="s">
        <v>181</v>
      </c>
      <c r="F39" s="16" t="s">
        <v>182</v>
      </c>
      <c r="G39" s="17" t="n">
        <v>0.5</v>
      </c>
      <c r="H39" s="16" t="s">
        <v>42</v>
      </c>
      <c r="I39" s="16" t="s">
        <v>141</v>
      </c>
      <c r="J39" s="19" t="s">
        <v>183</v>
      </c>
      <c r="K39" s="16" t="s">
        <v>60</v>
      </c>
      <c r="L39" s="16" t="s">
        <v>21</v>
      </c>
    </row>
    <row r="40" customFormat="false" ht="23.25" hidden="false" customHeight="true" outlineLevel="0" collapsed="false">
      <c r="A40" s="15" t="n">
        <v>10</v>
      </c>
      <c r="B40" s="16" t="s">
        <v>154</v>
      </c>
      <c r="C40" s="16" t="s">
        <v>184</v>
      </c>
      <c r="D40" s="16" t="s">
        <v>165</v>
      </c>
      <c r="E40" s="16" t="s">
        <v>185</v>
      </c>
      <c r="F40" s="16" t="s">
        <v>186</v>
      </c>
      <c r="G40" s="17" t="n">
        <v>0.5</v>
      </c>
      <c r="H40" s="16" t="s">
        <v>187</v>
      </c>
      <c r="I40" s="16" t="s">
        <v>141</v>
      </c>
      <c r="J40" s="18" t="s">
        <v>19</v>
      </c>
      <c r="K40" s="16" t="s">
        <v>188</v>
      </c>
      <c r="L40" s="16" t="s">
        <v>21</v>
      </c>
    </row>
    <row r="41" customFormat="false" ht="15" hidden="false" customHeight="true" outlineLevel="0" collapsed="false">
      <c r="A41" s="1" t="n">
        <v>11</v>
      </c>
      <c r="B41" s="1" t="s">
        <v>189</v>
      </c>
      <c r="C41" s="1" t="s">
        <v>190</v>
      </c>
      <c r="D41" s="1" t="s">
        <v>191</v>
      </c>
      <c r="E41" s="1" t="s">
        <v>192</v>
      </c>
      <c r="F41" s="1" t="s">
        <v>193</v>
      </c>
      <c r="G41" s="1" t="n">
        <v>0.25</v>
      </c>
      <c r="H41" s="1" t="s">
        <v>53</v>
      </c>
      <c r="I41" s="1" t="s">
        <v>194</v>
      </c>
      <c r="J41" s="1" t="s">
        <v>195</v>
      </c>
      <c r="K41" s="1" t="s">
        <v>196</v>
      </c>
      <c r="L41" s="1" t="s">
        <v>21</v>
      </c>
    </row>
    <row r="42" customFormat="false" ht="15" hidden="false" customHeight="true" outlineLevel="0" collapsed="false">
      <c r="A42" s="1" t="n">
        <v>11</v>
      </c>
      <c r="B42" s="1" t="s">
        <v>189</v>
      </c>
      <c r="C42" s="1" t="s">
        <v>197</v>
      </c>
      <c r="D42" s="1" t="s">
        <v>191</v>
      </c>
      <c r="E42" s="1" t="s">
        <v>198</v>
      </c>
      <c r="F42" s="1" t="s">
        <v>199</v>
      </c>
      <c r="G42" s="1" t="n">
        <v>0.25</v>
      </c>
      <c r="H42" s="1" t="s">
        <v>53</v>
      </c>
      <c r="I42" s="1" t="s">
        <v>194</v>
      </c>
      <c r="J42" s="1" t="s">
        <v>195</v>
      </c>
      <c r="K42" s="1" t="s">
        <v>196</v>
      </c>
      <c r="L42" s="1" t="s">
        <v>21</v>
      </c>
    </row>
    <row r="43" customFormat="false" ht="15" hidden="false" customHeight="true" outlineLevel="0" collapsed="false">
      <c r="A43" s="1" t="n">
        <v>11</v>
      </c>
      <c r="B43" s="1" t="s">
        <v>189</v>
      </c>
      <c r="C43" s="1" t="s">
        <v>200</v>
      </c>
      <c r="D43" s="1" t="s">
        <v>191</v>
      </c>
      <c r="E43" s="1" t="s">
        <v>201</v>
      </c>
      <c r="F43" s="1" t="s">
        <v>202</v>
      </c>
      <c r="G43" s="1" t="n">
        <v>0.5</v>
      </c>
      <c r="H43" s="1" t="s">
        <v>53</v>
      </c>
      <c r="I43" s="1" t="s">
        <v>194</v>
      </c>
      <c r="J43" s="1" t="s">
        <v>195</v>
      </c>
      <c r="K43" s="1" t="s">
        <v>196</v>
      </c>
      <c r="L43" s="1" t="s">
        <v>21</v>
      </c>
    </row>
    <row r="44" customFormat="false" ht="15" hidden="false" customHeight="true" outlineLevel="0" collapsed="false">
      <c r="A44" s="1" t="n">
        <v>11</v>
      </c>
      <c r="B44" s="1" t="s">
        <v>189</v>
      </c>
      <c r="C44" s="1" t="s">
        <v>203</v>
      </c>
      <c r="D44" s="1" t="s">
        <v>191</v>
      </c>
      <c r="E44" s="1" t="s">
        <v>204</v>
      </c>
      <c r="F44" s="1" t="s">
        <v>205</v>
      </c>
      <c r="G44" s="1" t="n">
        <v>0.5</v>
      </c>
      <c r="H44" s="1" t="s">
        <v>206</v>
      </c>
      <c r="I44" s="1" t="s">
        <v>194</v>
      </c>
      <c r="J44" s="1" t="s">
        <v>195</v>
      </c>
      <c r="K44" s="1" t="s">
        <v>196</v>
      </c>
      <c r="L44" s="1" t="s">
        <v>21</v>
      </c>
    </row>
    <row r="45" customFormat="false" ht="15" hidden="false" customHeight="true" outlineLevel="0" collapsed="false">
      <c r="A45" s="1" t="n">
        <v>11</v>
      </c>
      <c r="B45" s="1" t="s">
        <v>189</v>
      </c>
      <c r="C45" s="1" t="s">
        <v>207</v>
      </c>
      <c r="D45" s="1" t="s">
        <v>191</v>
      </c>
      <c r="E45" s="1" t="s">
        <v>208</v>
      </c>
      <c r="F45" s="1" t="s">
        <v>209</v>
      </c>
      <c r="G45" s="1" t="n">
        <v>0.5</v>
      </c>
      <c r="H45" s="1" t="s">
        <v>210</v>
      </c>
      <c r="I45" s="1" t="s">
        <v>194</v>
      </c>
      <c r="J45" s="1" t="s">
        <v>195</v>
      </c>
      <c r="K45" s="1" t="s">
        <v>196</v>
      </c>
      <c r="L45" s="1" t="s">
        <v>21</v>
      </c>
    </row>
    <row r="46" customFormat="false" ht="15" hidden="false" customHeight="true" outlineLevel="0" collapsed="false">
      <c r="A46" s="1" t="n">
        <v>11</v>
      </c>
      <c r="B46" s="1" t="s">
        <v>189</v>
      </c>
      <c r="C46" s="1" t="s">
        <v>211</v>
      </c>
      <c r="D46" s="1" t="s">
        <v>191</v>
      </c>
      <c r="E46" s="1" t="s">
        <v>212</v>
      </c>
      <c r="F46" s="1" t="s">
        <v>213</v>
      </c>
      <c r="G46" s="1" t="n">
        <v>0.25</v>
      </c>
      <c r="H46" s="1" t="s">
        <v>214</v>
      </c>
      <c r="I46" s="1" t="s">
        <v>194</v>
      </c>
      <c r="J46" s="1" t="s">
        <v>19</v>
      </c>
      <c r="K46" s="1" t="s">
        <v>196</v>
      </c>
      <c r="L46" s="1" t="s">
        <v>21</v>
      </c>
    </row>
    <row r="47" customFormat="false" ht="15" hidden="false" customHeight="true" outlineLevel="0" collapsed="false">
      <c r="A47" s="1" t="n">
        <v>11</v>
      </c>
      <c r="B47" s="1" t="s">
        <v>189</v>
      </c>
      <c r="C47" s="1" t="s">
        <v>215</v>
      </c>
      <c r="D47" s="1" t="s">
        <v>191</v>
      </c>
      <c r="E47" s="1" t="s">
        <v>216</v>
      </c>
      <c r="F47" s="1" t="s">
        <v>217</v>
      </c>
      <c r="G47" s="1" t="n">
        <v>0.25</v>
      </c>
      <c r="H47" s="1" t="s">
        <v>53</v>
      </c>
      <c r="I47" s="1" t="s">
        <v>194</v>
      </c>
      <c r="J47" s="1" t="s">
        <v>195</v>
      </c>
      <c r="K47" s="1" t="s">
        <v>196</v>
      </c>
      <c r="L47" s="1" t="s">
        <v>21</v>
      </c>
    </row>
    <row r="48" customFormat="false" ht="15" hidden="false" customHeight="true" outlineLevel="0" collapsed="false">
      <c r="A48" s="1" t="n">
        <v>12</v>
      </c>
      <c r="B48" s="1" t="s">
        <v>218</v>
      </c>
      <c r="C48" s="1" t="s">
        <v>219</v>
      </c>
      <c r="D48" s="1" t="s">
        <v>220</v>
      </c>
      <c r="E48" s="1" t="s">
        <v>221</v>
      </c>
      <c r="F48" s="1" t="s">
        <v>222</v>
      </c>
      <c r="G48" s="1" t="n">
        <v>0.5</v>
      </c>
      <c r="H48" s="1" t="s">
        <v>17</v>
      </c>
      <c r="I48" s="1" t="s">
        <v>194</v>
      </c>
      <c r="J48" s="1" t="s">
        <v>195</v>
      </c>
      <c r="K48" s="1" t="s">
        <v>223</v>
      </c>
      <c r="L48" s="1" t="s">
        <v>21</v>
      </c>
    </row>
    <row r="49" customFormat="false" ht="15" hidden="false" customHeight="true" outlineLevel="0" collapsed="false">
      <c r="A49" s="1" t="n">
        <v>12</v>
      </c>
      <c r="B49" s="1" t="s">
        <v>218</v>
      </c>
      <c r="C49" s="1" t="s">
        <v>224</v>
      </c>
      <c r="D49" s="1" t="s">
        <v>220</v>
      </c>
      <c r="E49" s="1" t="s">
        <v>225</v>
      </c>
      <c r="F49" s="1" t="s">
        <v>226</v>
      </c>
      <c r="G49" s="1" t="n">
        <v>0.25</v>
      </c>
      <c r="H49" s="1" t="s">
        <v>219</v>
      </c>
      <c r="I49" s="1" t="s">
        <v>194</v>
      </c>
      <c r="J49" s="1" t="s">
        <v>195</v>
      </c>
      <c r="K49" s="1" t="s">
        <v>223</v>
      </c>
      <c r="L49" s="1" t="s">
        <v>21</v>
      </c>
    </row>
    <row r="50" customFormat="false" ht="15" hidden="false" customHeight="true" outlineLevel="0" collapsed="false">
      <c r="A50" s="1" t="n">
        <v>12</v>
      </c>
      <c r="B50" s="1" t="s">
        <v>218</v>
      </c>
      <c r="C50" s="1" t="s">
        <v>227</v>
      </c>
      <c r="D50" s="1" t="s">
        <v>220</v>
      </c>
      <c r="E50" s="1" t="s">
        <v>228</v>
      </c>
      <c r="F50" s="1" t="s">
        <v>229</v>
      </c>
      <c r="G50" s="1" t="n">
        <v>0.5</v>
      </c>
      <c r="H50" s="1" t="s">
        <v>230</v>
      </c>
      <c r="I50" s="1" t="s">
        <v>194</v>
      </c>
      <c r="J50" s="1" t="s">
        <v>195</v>
      </c>
      <c r="K50" s="1" t="s">
        <v>223</v>
      </c>
      <c r="L50" s="1" t="s">
        <v>21</v>
      </c>
    </row>
    <row r="51" customFormat="false" ht="15" hidden="false" customHeight="true" outlineLevel="0" collapsed="false">
      <c r="A51" s="1" t="n">
        <v>13</v>
      </c>
      <c r="B51" s="1" t="s">
        <v>231</v>
      </c>
      <c r="C51" s="1" t="s">
        <v>232</v>
      </c>
      <c r="D51" s="1" t="s">
        <v>233</v>
      </c>
      <c r="E51" s="1" t="s">
        <v>234</v>
      </c>
      <c r="F51" s="1" t="s">
        <v>235</v>
      </c>
      <c r="G51" s="1" t="n">
        <v>0.5</v>
      </c>
      <c r="H51" s="1" t="s">
        <v>17</v>
      </c>
      <c r="I51" s="1" t="s">
        <v>194</v>
      </c>
      <c r="J51" s="1" t="s">
        <v>195</v>
      </c>
      <c r="K51" s="1" t="s">
        <v>60</v>
      </c>
      <c r="L51" s="1" t="s">
        <v>21</v>
      </c>
    </row>
    <row r="52" customFormat="false" ht="15" hidden="false" customHeight="true" outlineLevel="0" collapsed="false">
      <c r="A52" s="1" t="n">
        <v>13</v>
      </c>
      <c r="B52" s="1" t="s">
        <v>231</v>
      </c>
      <c r="C52" s="1" t="s">
        <v>236</v>
      </c>
      <c r="D52" s="1" t="s">
        <v>233</v>
      </c>
      <c r="E52" s="1" t="s">
        <v>237</v>
      </c>
      <c r="F52" s="1" t="s">
        <v>238</v>
      </c>
      <c r="G52" s="1" t="n">
        <v>0.5</v>
      </c>
      <c r="H52" s="1" t="s">
        <v>232</v>
      </c>
      <c r="I52" s="1" t="s">
        <v>194</v>
      </c>
      <c r="J52" s="1" t="s">
        <v>195</v>
      </c>
      <c r="K52" s="1" t="s">
        <v>60</v>
      </c>
      <c r="L52" s="1" t="s">
        <v>21</v>
      </c>
    </row>
    <row r="53" customFormat="false" ht="15" hidden="false" customHeight="true" outlineLevel="0" collapsed="false">
      <c r="A53" s="1" t="n">
        <v>13</v>
      </c>
      <c r="B53" s="1" t="s">
        <v>231</v>
      </c>
      <c r="C53" s="1" t="s">
        <v>239</v>
      </c>
      <c r="D53" s="1" t="s">
        <v>233</v>
      </c>
      <c r="E53" s="1" t="s">
        <v>240</v>
      </c>
      <c r="F53" s="1" t="s">
        <v>241</v>
      </c>
      <c r="G53" s="1" t="n">
        <v>0.25</v>
      </c>
      <c r="H53" s="1" t="s">
        <v>17</v>
      </c>
      <c r="I53" s="1" t="s">
        <v>194</v>
      </c>
      <c r="J53" s="1" t="s">
        <v>195</v>
      </c>
      <c r="K53" s="1" t="s">
        <v>60</v>
      </c>
      <c r="L53" s="1" t="s">
        <v>21</v>
      </c>
    </row>
    <row r="54" customFormat="false" ht="15" hidden="false" customHeight="true" outlineLevel="0" collapsed="false">
      <c r="A54" s="1" t="n">
        <v>13</v>
      </c>
      <c r="B54" s="1" t="s">
        <v>231</v>
      </c>
      <c r="C54" s="1" t="s">
        <v>242</v>
      </c>
      <c r="D54" s="1" t="s">
        <v>233</v>
      </c>
      <c r="E54" s="1" t="s">
        <v>243</v>
      </c>
      <c r="F54" s="1" t="s">
        <v>244</v>
      </c>
      <c r="G54" s="1" t="n">
        <v>0.5</v>
      </c>
      <c r="H54" s="1" t="s">
        <v>245</v>
      </c>
      <c r="I54" s="1" t="s">
        <v>194</v>
      </c>
      <c r="J54" s="1" t="s">
        <v>195</v>
      </c>
      <c r="K54" s="1" t="s">
        <v>60</v>
      </c>
      <c r="L54" s="1" t="s">
        <v>21</v>
      </c>
    </row>
    <row r="55" customFormat="false" ht="15" hidden="false" customHeight="true" outlineLevel="0" collapsed="false">
      <c r="A55" s="1" t="n">
        <v>13</v>
      </c>
      <c r="B55" s="1" t="s">
        <v>231</v>
      </c>
      <c r="C55" s="1" t="s">
        <v>246</v>
      </c>
      <c r="D55" s="1" t="s">
        <v>233</v>
      </c>
      <c r="E55" s="1" t="s">
        <v>247</v>
      </c>
      <c r="F55" s="1" t="s">
        <v>248</v>
      </c>
      <c r="G55" s="1" t="n">
        <v>0.25</v>
      </c>
      <c r="H55" s="1" t="s">
        <v>236</v>
      </c>
      <c r="I55" s="1" t="s">
        <v>194</v>
      </c>
      <c r="J55" s="1" t="s">
        <v>249</v>
      </c>
      <c r="K55" s="1" t="s">
        <v>60</v>
      </c>
      <c r="L55" s="1" t="s">
        <v>21</v>
      </c>
    </row>
    <row r="56" customFormat="false" ht="15" hidden="false" customHeight="false" outlineLevel="0" collapsed="false">
      <c r="A56" s="1" t="n">
        <v>13</v>
      </c>
      <c r="B56" s="1" t="s">
        <v>231</v>
      </c>
      <c r="C56" s="1" t="s">
        <v>250</v>
      </c>
      <c r="D56" s="1" t="s">
        <v>233</v>
      </c>
      <c r="E56" s="1" t="s">
        <v>251</v>
      </c>
      <c r="F56" s="1" t="s">
        <v>252</v>
      </c>
      <c r="G56" s="1" t="n">
        <v>0.5</v>
      </c>
      <c r="H56" s="1" t="s">
        <v>236</v>
      </c>
      <c r="I56" s="1" t="s">
        <v>194</v>
      </c>
      <c r="J56" s="1" t="s">
        <v>19</v>
      </c>
      <c r="K56" s="1" t="s">
        <v>60</v>
      </c>
      <c r="L56" s="1" t="s">
        <v>21</v>
      </c>
    </row>
    <row r="57" customFormat="false" ht="15" hidden="false" customHeight="true" outlineLevel="0" collapsed="false"/>
    <row r="58" customFormat="false" ht="15" hidden="false" customHeight="false" outlineLevel="0" collapsed="false">
      <c r="F58" s="20" t="s">
        <v>253</v>
      </c>
      <c r="G58" s="21" t="n">
        <f aca="false">SUM(G2:G56)</f>
        <v>34.25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4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254</v>
      </c>
      <c r="D1" s="2" t="s">
        <v>255</v>
      </c>
      <c r="E1" s="2" t="s">
        <v>256</v>
      </c>
      <c r="F1" s="2" t="s">
        <v>257</v>
      </c>
    </row>
    <row r="2" customFormat="false" ht="34.5" hidden="false" customHeight="true" outlineLevel="0" collapsed="false">
      <c r="A2" s="22" t="n">
        <v>0</v>
      </c>
      <c r="B2" s="23" t="s">
        <v>12</v>
      </c>
      <c r="C2" s="23" t="s">
        <v>258</v>
      </c>
      <c r="D2" s="23" t="s">
        <v>259</v>
      </c>
      <c r="E2" s="24" t="n">
        <f aca="false">SUMIF(Backlog!A:A,A2,Backlog!G:G)</f>
        <v>8.5</v>
      </c>
      <c r="F2" s="24" t="n">
        <f aca="false">E2</f>
        <v>8.5</v>
      </c>
    </row>
    <row r="3" customFormat="false" ht="15" hidden="false" customHeight="true" outlineLevel="0" collapsed="false">
      <c r="A3" s="22" t="n">
        <v>1</v>
      </c>
      <c r="B3" s="23" t="s">
        <v>12</v>
      </c>
      <c r="C3" s="23" t="s">
        <v>260</v>
      </c>
      <c r="D3" s="23" t="s">
        <v>261</v>
      </c>
      <c r="E3" s="24" t="n">
        <f aca="false">SUMIF(Backlog!A:A,A3,Backlog!G:G)</f>
        <v>3</v>
      </c>
      <c r="F3" s="24" t="n">
        <f aca="false">F2+E3</f>
        <v>11.5</v>
      </c>
    </row>
    <row r="4" customFormat="false" ht="15" hidden="false" customHeight="true" outlineLevel="0" collapsed="false">
      <c r="A4" s="22" t="n">
        <v>2</v>
      </c>
      <c r="B4" s="23" t="s">
        <v>12</v>
      </c>
      <c r="C4" s="23" t="s">
        <v>262</v>
      </c>
      <c r="D4" s="23" t="s">
        <v>263</v>
      </c>
      <c r="E4" s="24" t="n">
        <f aca="false">SUMIF(Backlog!A:A,A4,Backlog!G:G)</f>
        <v>2</v>
      </c>
      <c r="F4" s="24" t="n">
        <f aca="false">F3+E4</f>
        <v>13.5</v>
      </c>
    </row>
    <row r="5" customFormat="false" ht="15" hidden="false" customHeight="true" outlineLevel="0" collapsed="false">
      <c r="A5" s="22" t="n">
        <v>3</v>
      </c>
      <c r="B5" s="23" t="s">
        <v>12</v>
      </c>
      <c r="C5" s="23" t="s">
        <v>264</v>
      </c>
      <c r="D5" s="23" t="s">
        <v>265</v>
      </c>
      <c r="E5" s="24" t="n">
        <f aca="false">SUMIF(Backlog!A:A,A5,Backlog!G:G)</f>
        <v>2</v>
      </c>
      <c r="F5" s="24" t="n">
        <f aca="false">F4+E5</f>
        <v>15.5</v>
      </c>
    </row>
    <row r="6" customFormat="false" ht="15" hidden="false" customHeight="true" outlineLevel="0" collapsed="false">
      <c r="A6" s="22" t="n">
        <v>4</v>
      </c>
      <c r="B6" s="23" t="s">
        <v>12</v>
      </c>
      <c r="C6" s="23" t="s">
        <v>266</v>
      </c>
      <c r="D6" s="23" t="s">
        <v>267</v>
      </c>
      <c r="E6" s="24" t="n">
        <f aca="false">SUMIF(Backlog!A:A,A6,Backlog!G:G)</f>
        <v>1.5</v>
      </c>
      <c r="F6" s="24" t="n">
        <f aca="false">F5+E6</f>
        <v>17</v>
      </c>
    </row>
    <row r="7" customFormat="false" ht="15" hidden="false" customHeight="true" outlineLevel="0" collapsed="false">
      <c r="A7" s="25" t="n">
        <v>5</v>
      </c>
      <c r="B7" s="26" t="s">
        <v>116</v>
      </c>
      <c r="C7" s="26" t="s">
        <v>268</v>
      </c>
      <c r="D7" s="26" t="s">
        <v>269</v>
      </c>
      <c r="E7" s="27" t="n">
        <f aca="false">SUMIF(Backlog!A:A,A7,Backlog!G:G)</f>
        <v>2</v>
      </c>
      <c r="F7" s="27" t="n">
        <f aca="false">F6+E7</f>
        <v>19</v>
      </c>
    </row>
    <row r="8" customFormat="false" ht="15" hidden="false" customHeight="true" outlineLevel="0" collapsed="false">
      <c r="A8" s="28" t="n">
        <v>6</v>
      </c>
      <c r="B8" s="29" t="s">
        <v>124</v>
      </c>
      <c r="C8" s="29" t="s">
        <v>270</v>
      </c>
      <c r="D8" s="29" t="s">
        <v>271</v>
      </c>
      <c r="E8" s="30" t="n">
        <f aca="false">SUMIF(Backlog!A:A,A8,Backlog!G:G)</f>
        <v>1</v>
      </c>
      <c r="F8" s="30" t="n">
        <f aca="false">F7+E8</f>
        <v>20</v>
      </c>
    </row>
    <row r="9" customFormat="false" ht="15" hidden="false" customHeight="true" outlineLevel="0" collapsed="false">
      <c r="A9" s="28" t="n">
        <v>7</v>
      </c>
      <c r="B9" s="29" t="s">
        <v>124</v>
      </c>
      <c r="C9" s="29" t="s">
        <v>272</v>
      </c>
      <c r="D9" s="29" t="s">
        <v>273</v>
      </c>
      <c r="E9" s="30" t="n">
        <f aca="false">SUMIF(Backlog!A:A,A9,Backlog!G:G)</f>
        <v>2</v>
      </c>
      <c r="F9" s="30" t="n">
        <f aca="false">F8+E9</f>
        <v>22</v>
      </c>
    </row>
    <row r="10" customFormat="false" ht="15" hidden="false" customHeight="true" outlineLevel="0" collapsed="false">
      <c r="A10" s="28" t="n">
        <v>8</v>
      </c>
      <c r="B10" s="29" t="s">
        <v>124</v>
      </c>
      <c r="C10" s="29" t="s">
        <v>274</v>
      </c>
      <c r="D10" s="29" t="s">
        <v>148</v>
      </c>
      <c r="E10" s="30" t="n">
        <f aca="false">SUMIF(Backlog!A:A,A10,Backlog!G:G)</f>
        <v>1</v>
      </c>
      <c r="F10" s="30" t="n">
        <f aca="false">F9+E10</f>
        <v>23</v>
      </c>
    </row>
    <row r="11" customFormat="false" ht="15" hidden="false" customHeight="true" outlineLevel="0" collapsed="false">
      <c r="A11" s="31" t="n">
        <v>9</v>
      </c>
      <c r="B11" s="32" t="s">
        <v>154</v>
      </c>
      <c r="C11" s="32" t="s">
        <v>275</v>
      </c>
      <c r="D11" s="32" t="s">
        <v>276</v>
      </c>
      <c r="E11" s="33" t="n">
        <f aca="false">SUMIF(Backlog!A:A,A11,Backlog!G:G)</f>
        <v>2</v>
      </c>
      <c r="F11" s="33" t="n">
        <f aca="false">F10+E11</f>
        <v>25</v>
      </c>
    </row>
    <row r="12" customFormat="false" ht="23.25" hidden="false" customHeight="true" outlineLevel="0" collapsed="false">
      <c r="A12" s="31" t="n">
        <v>10</v>
      </c>
      <c r="B12" s="32" t="s">
        <v>154</v>
      </c>
      <c r="C12" s="32" t="s">
        <v>277</v>
      </c>
      <c r="D12" s="32" t="s">
        <v>278</v>
      </c>
      <c r="E12" s="33" t="n">
        <f aca="false">SUMIF(Backlog!A:A,A12,Backlog!G:G)</f>
        <v>3</v>
      </c>
      <c r="F12" s="33" t="n">
        <f aca="false">F11+E12</f>
        <v>28</v>
      </c>
    </row>
    <row r="13" customFormat="false" ht="15" hidden="false" customHeight="true" outlineLevel="0" collapsed="false">
      <c r="A13" s="1" t="n">
        <v>11</v>
      </c>
      <c r="B13" s="1" t="s">
        <v>189</v>
      </c>
      <c r="C13" s="1" t="s">
        <v>279</v>
      </c>
      <c r="D13" s="1" t="s">
        <v>280</v>
      </c>
      <c r="E13" s="1" t="n">
        <f aca="false">SUMIF(Backlog!A:A,A13,Backlog!G:G)</f>
        <v>2.5</v>
      </c>
      <c r="F13" s="1" t="n">
        <f aca="false">F12+E13</f>
        <v>30.5</v>
      </c>
    </row>
    <row r="14" customFormat="false" ht="15" hidden="false" customHeight="true" outlineLevel="0" collapsed="false">
      <c r="A14" s="1" t="n">
        <v>12</v>
      </c>
      <c r="B14" s="1" t="s">
        <v>218</v>
      </c>
      <c r="C14" s="1" t="s">
        <v>281</v>
      </c>
      <c r="D14" s="1" t="s">
        <v>282</v>
      </c>
      <c r="E14" s="1" t="n">
        <f aca="false">SUMIF(Backlog!A:A,A14,Backlog!G:G)</f>
        <v>1.25</v>
      </c>
      <c r="F14" s="1" t="n">
        <f aca="false">F13+E14</f>
        <v>31.75</v>
      </c>
    </row>
    <row r="15" customFormat="false" ht="15" hidden="false" customHeight="true" outlineLevel="0" collapsed="false">
      <c r="A15" s="1" t="n">
        <v>13</v>
      </c>
      <c r="B15" s="1" t="s">
        <v>231</v>
      </c>
      <c r="C15" s="1" t="s">
        <v>283</v>
      </c>
      <c r="D15" s="1" t="s">
        <v>284</v>
      </c>
      <c r="E15" s="1" t="n">
        <f aca="false">SUMIF(Backlog!A:A,A15,Backlog!G:G)</f>
        <v>2.5</v>
      </c>
      <c r="F15" s="1" t="n">
        <f aca="false">F14+E15</f>
        <v>34.25</v>
      </c>
    </row>
    <row r="16" customFormat="false" ht="15" hidden="false" customHeight="true" outlineLevel="0" collapsed="false">
      <c r="D16" s="20" t="s">
        <v>285</v>
      </c>
      <c r="E16" s="21" t="n">
        <f aca="false">SUM(E2:E15)</f>
        <v>34.25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60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" t="s">
        <v>8</v>
      </c>
      <c r="B1" s="2" t="s">
        <v>286</v>
      </c>
      <c r="C1" s="2" t="s">
        <v>255</v>
      </c>
      <c r="D1" s="2" t="s">
        <v>287</v>
      </c>
      <c r="E1" s="2" t="s">
        <v>256</v>
      </c>
    </row>
    <row r="2" customFormat="false" ht="23.25" hidden="false" customHeight="true" outlineLevel="0" collapsed="false">
      <c r="A2" s="34" t="s">
        <v>18</v>
      </c>
      <c r="B2" s="34" t="s">
        <v>288</v>
      </c>
      <c r="C2" s="34" t="s">
        <v>289</v>
      </c>
      <c r="D2" s="34" t="s">
        <v>290</v>
      </c>
      <c r="E2" s="35" t="n">
        <f aca="false">SUMIF(Backlog!G:G,A2,Backlog!E:E)</f>
        <v>0</v>
      </c>
    </row>
    <row r="3" customFormat="false" ht="23.25" hidden="false" customHeight="true" outlineLevel="0" collapsed="false">
      <c r="A3" s="34" t="s">
        <v>66</v>
      </c>
      <c r="B3" s="34" t="s">
        <v>291</v>
      </c>
      <c r="C3" s="34" t="s">
        <v>292</v>
      </c>
      <c r="D3" s="34" t="s">
        <v>293</v>
      </c>
      <c r="E3" s="35" t="n">
        <f aca="false">SUMIF(Backlog!G:G,A3,Backlog!E:E)</f>
        <v>0</v>
      </c>
    </row>
    <row r="4" customFormat="false" ht="23.25" hidden="false" customHeight="true" outlineLevel="0" collapsed="false">
      <c r="A4" s="34" t="s">
        <v>141</v>
      </c>
      <c r="B4" s="34" t="s">
        <v>294</v>
      </c>
      <c r="C4" s="34" t="s">
        <v>295</v>
      </c>
      <c r="D4" s="34" t="s">
        <v>296</v>
      </c>
      <c r="E4" s="35" t="n">
        <f aca="false">SUMIF(Backlog!G:G,A4,Backlog!E:E)</f>
        <v>0</v>
      </c>
    </row>
    <row r="5" customFormat="false" ht="15" hidden="false" customHeight="true" outlineLevel="0" collapsed="false">
      <c r="D5" s="20" t="s">
        <v>285</v>
      </c>
      <c r="E5" s="21" t="n">
        <f aca="false">SUM(E2:E4)</f>
        <v>0</v>
      </c>
    </row>
    <row r="7" customFormat="false" ht="15" hidden="false" customHeight="true" outlineLevel="0" collapsed="false">
      <c r="A7" s="36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42"/>
  </cols>
  <sheetData>
    <row r="1" customFormat="false" ht="15" hidden="false" customHeight="true" outlineLevel="0" collapsed="false">
      <c r="A1" s="2" t="s">
        <v>298</v>
      </c>
      <c r="B1" s="2" t="s">
        <v>299</v>
      </c>
      <c r="C1" s="2" t="s">
        <v>300</v>
      </c>
    </row>
    <row r="2" customFormat="false" ht="15" hidden="false" customHeight="true" outlineLevel="0" collapsed="false">
      <c r="A2" s="34" t="s">
        <v>301</v>
      </c>
      <c r="B2" s="34" t="s">
        <v>302</v>
      </c>
      <c r="C2" s="34" t="s">
        <v>303</v>
      </c>
    </row>
    <row r="3" customFormat="false" ht="23.25" hidden="false" customHeight="true" outlineLevel="0" collapsed="false">
      <c r="A3" s="34" t="s">
        <v>94</v>
      </c>
      <c r="B3" s="34" t="s">
        <v>304</v>
      </c>
      <c r="C3" s="34" t="s">
        <v>305</v>
      </c>
    </row>
    <row r="4" customFormat="false" ht="15" hidden="false" customHeight="true" outlineLevel="0" collapsed="false">
      <c r="A4" s="34" t="s">
        <v>25</v>
      </c>
      <c r="B4" s="34" t="s">
        <v>306</v>
      </c>
      <c r="C4" s="34" t="s">
        <v>307</v>
      </c>
    </row>
    <row r="5" customFormat="false" ht="15" hidden="false" customHeight="true" outlineLevel="0" collapsed="false">
      <c r="A5" s="34" t="s">
        <v>76</v>
      </c>
      <c r="B5" s="34" t="s">
        <v>308</v>
      </c>
      <c r="C5" s="34" t="s">
        <v>309</v>
      </c>
    </row>
    <row r="6" customFormat="false" ht="15" hidden="false" customHeight="true" outlineLevel="0" collapsed="false">
      <c r="A6" s="34" t="s">
        <v>99</v>
      </c>
      <c r="B6" s="34" t="s">
        <v>310</v>
      </c>
      <c r="C6" s="34" t="s">
        <v>311</v>
      </c>
    </row>
    <row r="7" customFormat="false" ht="15" hidden="false" customHeight="true" outlineLevel="0" collapsed="false">
      <c r="A7" s="34" t="s">
        <v>56</v>
      </c>
      <c r="B7" s="34" t="s">
        <v>312</v>
      </c>
      <c r="C7" s="34" t="s">
        <v>313</v>
      </c>
    </row>
    <row r="8" customFormat="false" ht="15" hidden="false" customHeight="true" outlineLevel="0" collapsed="false">
      <c r="A8" s="1" t="s">
        <v>196</v>
      </c>
      <c r="B8" s="1" t="s">
        <v>314</v>
      </c>
      <c r="C8" s="1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2026-06-02T20:58:09Z</dcterms:created>
  <dc:creator>openpyxl</dc:creator>
  <dc:description/>
  <dc:language>en-US</dc:language>
  <cp:lastModifiedBy/>
  <dcterms:modified xsi:type="dcterms:W3CDTF">2026-06-04T23:02:13Z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