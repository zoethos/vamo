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Model" sheetId="3" state="visible" r:id="rId5"/>
    <sheet name="UnitEconom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Vamo</author>
  </authors>
  <commentList>
    <comment ref="B7" authorId="0">
      <text>
        <r>
          <rPr>
            <sz val="10"/>
            <rFont val="Arial"/>
            <family val="2"/>
          </rPr>
          <t xml:space="preserve">Freemium conversion benchmark ~2.18% median (Growth Unhinged / Adapty 2026).</t>
        </r>
      </text>
    </comment>
    <comment ref="B13" authorId="0">
      <text>
        <r>
          <rPr>
            <sz val="10"/>
            <rFont val="Arial"/>
            <family val="2"/>
          </rPr>
          <t xml:space="preserve">Consumer subscription churn ~6-9%/mo (RetentionCheck 2026).</t>
        </r>
      </text>
    </comment>
    <comment ref="B18" authorId="0">
      <text>
        <r>
          <rPr>
            <sz val="10"/>
            <rFont val="Arial"/>
            <family val="2"/>
          </rPr>
          <t xml:space="preserve">CPI iOS ~$4.70 / Android ~$3.70 (Business of Apps 2026).</t>
        </r>
      </text>
    </comment>
  </commentList>
</comments>
</file>

<file path=xl/sharedStrings.xml><?xml version="1.0" encoding="utf-8"?>
<sst xmlns="http://schemas.openxmlformats.org/spreadsheetml/2006/main" count="120" uniqueCount="114">
  <si>
    <t xml:space="preserve">Vamo — financial summary (selected scenario)</t>
  </si>
  <si>
    <t xml:space="preserve">Toggle Assumptions!B4 to compare Conservative / Base / Upside.</t>
  </si>
  <si>
    <t xml:space="preserve">Metric</t>
  </si>
  <si>
    <t xml:space="preserve">Year 1</t>
  </si>
  <si>
    <t xml:space="preserve">Year 2</t>
  </si>
  <si>
    <t xml:space="preserve">Year 3</t>
  </si>
  <si>
    <t xml:space="preserve">Net revenue</t>
  </si>
  <si>
    <t xml:space="preserve">Total cost</t>
  </si>
  <si>
    <t xml:space="preserve">EBITDA</t>
  </si>
  <si>
    <t xml:space="preserve">Paying users (year end)</t>
  </si>
  <si>
    <t xml:space="preserve">MAU (year end)</t>
  </si>
  <si>
    <t xml:space="preserve">Cumulative cash (year end)</t>
  </si>
  <si>
    <t xml:space="preserve">Lowest cash point in year</t>
  </si>
  <si>
    <t xml:space="preserve">EBITDA-positive from month</t>
  </si>
  <si>
    <t xml:space="preserve">9999 = not yet positive in 36 mo</t>
  </si>
  <si>
    <t xml:space="preserve">Peak funding need ($, pre-capital)</t>
  </si>
  <si>
    <t xml:space="preserve">Starting capital (EUR 10k)</t>
  </si>
  <si>
    <t xml:space="preserve">Cash balance, year-end (incl. capital)</t>
  </si>
  <si>
    <t xml:space="preserve">Lowest cash balance (incl. capital)</t>
  </si>
  <si>
    <t xml:space="preserve">Fully funded by the EUR 10k?</t>
  </si>
  <si>
    <t xml:space="preserve">Vamo — Financial Model  -  Assumptions</t>
  </si>
  <si>
    <t xml:space="preserve">Edit blue cells. Switch the scenario in B4 to recompute the whole model.</t>
  </si>
  <si>
    <t xml:space="preserve">Scenario</t>
  </si>
  <si>
    <t xml:space="preserve">Base</t>
  </si>
  <si>
    <t xml:space="preserve">Assumption</t>
  </si>
  <si>
    <t xml:space="preserve">Conservative</t>
  </si>
  <si>
    <t xml:space="preserve">Upside</t>
  </si>
  <si>
    <t xml:space="preserve">Selected</t>
  </si>
  <si>
    <t xml:space="preserve">Unit / note</t>
  </si>
  <si>
    <t xml:space="preserve">Organic installs, month 1</t>
  </si>
  <si>
    <t xml:space="preserve">installs/mo: ASO + any-trip (incl. commute) + solo discovery</t>
  </si>
  <si>
    <t xml:space="preserve">Organic MoM growth</t>
  </si>
  <si>
    <t xml:space="preserve">month-over-month</t>
  </si>
  <si>
    <t xml:space="preserve">Viral coefficient</t>
  </si>
  <si>
    <t xml:space="preserve">new joiners/active/mo: branded social shares + join-a-trip + bill invites</t>
  </si>
  <si>
    <t xml:space="preserve">Activation rate</t>
  </si>
  <si>
    <t xml:space="preserve">install -&gt; active member</t>
  </si>
  <si>
    <t xml:space="preserve">Monthly dormancy</t>
  </si>
  <si>
    <t xml:space="preserve">active base decay / mo (episodic travel)</t>
  </si>
  <si>
    <t xml:space="preserve">Free -&gt; paid conversion</t>
  </si>
  <si>
    <t xml:space="preserve">of installs (freemium median ~2.2%)</t>
  </si>
  <si>
    <t xml:space="preserve">Monthly paying churn</t>
  </si>
  <si>
    <t xml:space="preserve">consumer app avg ~9%/mo</t>
  </si>
  <si>
    <t xml:space="preserve">Voyager price ($/mo)</t>
  </si>
  <si>
    <t xml:space="preserve">Voyager mid tier price</t>
  </si>
  <si>
    <t xml:space="preserve">Pioneer price ($/mo)</t>
  </si>
  <si>
    <t xml:space="preserve">Pioneer top tier: action-cam, replay, Orbit+Constellations</t>
  </si>
  <si>
    <t xml:space="preserve">Pioneer share of payers</t>
  </si>
  <si>
    <t xml:space="preserve">% of paying users on Pioneer (rest on Voyager)</t>
  </si>
  <si>
    <t xml:space="preserve">Voyager opex ($/mo)</t>
  </si>
  <si>
    <t xml:space="preserve">render+storage+map per Voyager payer</t>
  </si>
  <si>
    <t xml:space="preserve">Pioneer opex ($/mo)</t>
  </si>
  <si>
    <t xml:space="preserve">action-cam storage+render per Pioneer payer</t>
  </si>
  <si>
    <t xml:space="preserve">App store fee</t>
  </si>
  <si>
    <t xml:space="preserve">Apple/Google small-business rate &lt;$1M</t>
  </si>
  <si>
    <t xml:space="preserve">Paid budget, month 1</t>
  </si>
  <si>
    <t xml:space="preserve">$/mo paid UA</t>
  </si>
  <si>
    <t xml:space="preserve">Paid budget MoM growth</t>
  </si>
  <si>
    <t xml:space="preserve">Blended CPI</t>
  </si>
  <si>
    <t xml:space="preserve">$/install (iOS ~$4.70, Android ~$3.70)</t>
  </si>
  <si>
    <t xml:space="preserve">Infra cost per MAU</t>
  </si>
  <si>
    <t xml:space="preserve">$/MAU (Supabase/Mapbox/Shotstack)</t>
  </si>
  <si>
    <t xml:space="preserve">Fixed tools / ops</t>
  </si>
  <si>
    <t xml:space="preserve">$/mo ops + AI dev tools (Claude Max ~$100, Cursor ~$20, Codex ~$100)</t>
  </si>
  <si>
    <t xml:space="preserve">Contractor start month</t>
  </si>
  <si>
    <t xml:space="preserve">month any paid help begins (waves 3-4)</t>
  </si>
  <si>
    <t xml:space="preserve">Contractor cost</t>
  </si>
  <si>
    <t xml:space="preserve">$0 — founder builds it (unpaid). Set &gt;0 only if you hire.</t>
  </si>
  <si>
    <t xml:space="preserve">Starting capital ($)</t>
  </si>
  <si>
    <t xml:space="preserve">founder's EUR 10k injection (~$10,800 at EUR/USD 1.08)</t>
  </si>
  <si>
    <t xml:space="preserve">Operator track (B2B) — active from the Wave-3 gate; Conservative = gate failed (consumer-only)</t>
  </si>
  <si>
    <t xml:space="preserve">Operator launch month</t>
  </si>
  <si>
    <t xml:space="preserve">month operator onboarding starts (post Wave-3 gate); 9999 = never</t>
  </si>
  <si>
    <t xml:space="preserve">New operators / month</t>
  </si>
  <si>
    <t xml:space="preserve">tour guides &amp; operators onboarded/mo (founder-led sales)</t>
  </si>
  <si>
    <t xml:space="preserve">Operator monthly churn</t>
  </si>
  <si>
    <t xml:space="preserve">B2B churn (annual contracts later)</t>
  </si>
  <si>
    <t xml:space="preserve">Revenue per operator ($/mo)</t>
  </si>
  <si>
    <t xml:space="preserve">per-trip/per-seat blended; web billing - no app store fee</t>
  </si>
  <si>
    <t xml:space="preserve">Operator opex ($/mo)</t>
  </si>
  <si>
    <t xml:space="preserve">audio/media storage + hosting + support per operator</t>
  </si>
  <si>
    <t xml:space="preserve">Vamo — 36-month operating model (selected scenario)</t>
  </si>
  <si>
    <t xml:space="preserve">Month</t>
  </si>
  <si>
    <t xml:space="preserve">Paid $</t>
  </si>
  <si>
    <t xml:space="preserve">Paid inst.</t>
  </si>
  <si>
    <t xml:space="preserve">Organic inst.</t>
  </si>
  <si>
    <t xml:space="preserve">Viral inst.</t>
  </si>
  <si>
    <t xml:space="preserve">New installs</t>
  </si>
  <si>
    <t xml:space="preserve">New actives</t>
  </si>
  <si>
    <t xml:space="preserve">MAU</t>
  </si>
  <si>
    <t xml:space="preserve">New paying</t>
  </si>
  <si>
    <t xml:space="preserve">Paying users</t>
  </si>
  <si>
    <t xml:space="preserve">Gross rev</t>
  </si>
  <si>
    <t xml:space="preserve">Net rev</t>
  </si>
  <si>
    <t xml:space="preserve">Infra+tier</t>
  </si>
  <si>
    <t xml:space="preserve">Marketing</t>
  </si>
  <si>
    <t xml:space="preserve">Contractors</t>
  </si>
  <si>
    <t xml:space="preserve">Fixed</t>
  </si>
  <si>
    <t xml:space="preserve">Cum. cash</t>
  </si>
  <si>
    <t xml:space="preserve">be_helper</t>
  </si>
  <si>
    <t xml:space="preserve">Operators</t>
  </si>
  <si>
    <t xml:space="preserve">Oper. net rev</t>
  </si>
  <si>
    <t xml:space="preserve">Oper. opex</t>
  </si>
  <si>
    <t xml:space="preserve">Unit economics (selected scenario)</t>
  </si>
  <si>
    <t xml:space="preserve">ARPU (paying), $/mo</t>
  </si>
  <si>
    <t xml:space="preserve">Net ARPU, $/mo</t>
  </si>
  <si>
    <t xml:space="preserve">Avg paying lifetime, months</t>
  </si>
  <si>
    <t xml:space="preserve">Gross LTV, $</t>
  </si>
  <si>
    <t xml:space="preserve">Premium opex per payer (life), $</t>
  </si>
  <si>
    <t xml:space="preserve">Net LTV, $</t>
  </si>
  <si>
    <t xml:space="preserve">Blended CAC, $ (mktg / new paying)</t>
  </si>
  <si>
    <t xml:space="preserve">Paid-only CAC, $ (CPI / conv)</t>
  </si>
  <si>
    <t xml:space="preserve">LTV : CAC (blended)</t>
  </si>
  <si>
    <t xml:space="preserve">Target: LTV:CAC ≥ 3.0x, payback &lt; 12 mo. The invite loop is what holds blended CAC low.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</si>
</sst>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;\(#,##0\);\-"/>
    <numFmt numFmtId="167" formatCode="0"/>
    <numFmt numFmtId="168" formatCode="0.0%"/>
    <numFmt numFmtId="169" formatCode="\$#,##0.00;&quot;($&quot;#,##0.00\);\-"/>
    <numFmt numFmtId="170" formatCode="0.0"/>
    <numFmt numFmtId="171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6E7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6E70"/>
        <bgColor rgb="FF008080"/>
      </patternFill>
    </fill>
    <fill>
      <patternFill patternType="solid">
        <fgColor rgb="FFFFF2CC"/>
        <bgColor rgb="FFF3E7CC"/>
      </patternFill>
    </fill>
    <fill>
      <patternFill patternType="solid">
        <fgColor rgb="FFF3E7C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6E7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3E7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f aca="false">SUM(Model!L4:L15)</f>
        <v>11296.0511148689</v>
      </c>
      <c r="C5" s="6" t="n">
        <f aca="false">SUM(Model!L16:L27)</f>
        <v>54975.666197497</v>
      </c>
      <c r="D5" s="6" t="n">
        <f aca="false">SUM(Model!L28:L39)</f>
        <v>183265.967488532</v>
      </c>
    </row>
    <row r="6" customFormat="false" ht="15" hidden="false" customHeight="true" outlineLevel="0" collapsed="false">
      <c r="A6" s="5" t="s">
        <v>7</v>
      </c>
      <c r="B6" s="6" t="n">
        <f aca="false">SUM(Model!Q4:Q15)</f>
        <v>15656.1688812301</v>
      </c>
      <c r="C6" s="6" t="n">
        <f aca="false">SUM(Model!Q16:Q27)</f>
        <v>37403.7570589225</v>
      </c>
      <c r="D6" s="6" t="n">
        <f aca="false">SUM(Model!Q28:Q39)</f>
        <v>92532.402735838</v>
      </c>
    </row>
    <row r="7" customFormat="false" ht="15" hidden="false" customHeight="true" outlineLevel="0" collapsed="false">
      <c r="A7" s="5" t="s">
        <v>8</v>
      </c>
      <c r="B7" s="6" t="n">
        <f aca="false">SUM(Model!R4:R15)</f>
        <v>-4360.11776636122</v>
      </c>
      <c r="C7" s="6" t="n">
        <f aca="false">SUM(Model!R16:R27)</f>
        <v>17571.9091385745</v>
      </c>
      <c r="D7" s="6" t="n">
        <f aca="false">SUM(Model!R28:R39)</f>
        <v>90733.5647526938</v>
      </c>
    </row>
    <row r="8" customFormat="false" ht="15" hidden="false" customHeight="true" outlineLevel="0" collapsed="false">
      <c r="A8" s="5" t="s">
        <v>9</v>
      </c>
      <c r="B8" s="7" t="n">
        <f aca="false">Model!J15</f>
        <v>436.814998719901</v>
      </c>
      <c r="C8" s="7" t="n">
        <f aca="false">Model!J27</f>
        <v>1508.06655560007</v>
      </c>
      <c r="D8" s="7" t="n">
        <f aca="false">Model!J39</f>
        <v>4358.99443802357</v>
      </c>
    </row>
    <row r="9" customFormat="false" ht="15" hidden="false" customHeight="true" outlineLevel="0" collapsed="false">
      <c r="A9" s="5" t="s">
        <v>10</v>
      </c>
      <c r="B9" s="7" t="n">
        <f aca="false">Model!H15</f>
        <v>11875.3205307056</v>
      </c>
      <c r="C9" s="7" t="n">
        <f aca="false">Model!H27</f>
        <v>37513.6298363067</v>
      </c>
      <c r="D9" s="7" t="n">
        <f aca="false">Model!H39</f>
        <v>106231.182527122</v>
      </c>
    </row>
    <row r="10" customFormat="false" ht="15" hidden="false" customHeight="true" outlineLevel="0" collapsed="false">
      <c r="A10" s="5" t="s">
        <v>11</v>
      </c>
      <c r="B10" s="6" t="n">
        <f aca="false">Model!S15</f>
        <v>-4360.11776636122</v>
      </c>
      <c r="C10" s="6" t="n">
        <f aca="false">Model!S27</f>
        <v>13211.7913722133</v>
      </c>
      <c r="D10" s="6" t="n">
        <f aca="false">Model!S39</f>
        <v>103945.356124907</v>
      </c>
    </row>
    <row r="11" customFormat="false" ht="15" hidden="false" customHeight="true" outlineLevel="0" collapsed="false">
      <c r="A11" s="5" t="s">
        <v>12</v>
      </c>
      <c r="B11" s="6" t="n">
        <f aca="false">MIN(Model!S4:S15)</f>
        <v>-4479.59878562653</v>
      </c>
      <c r="C11" s="6" t="n">
        <f aca="false">MIN(Model!S16:S27)</f>
        <v>-4122.89246481343</v>
      </c>
      <c r="D11" s="6" t="n">
        <f aca="false">MIN(Model!S28:S39)</f>
        <v>17206.6835902651</v>
      </c>
    </row>
    <row r="13" customFormat="false" ht="15" hidden="false" customHeight="true" outlineLevel="0" collapsed="false">
      <c r="A13" s="8" t="s">
        <v>13</v>
      </c>
      <c r="B13" s="9" t="n">
        <f aca="false">MIN(Model!T4:T39)</f>
        <v>11</v>
      </c>
      <c r="C13" s="3" t="s">
        <v>14</v>
      </c>
    </row>
    <row r="14" customFormat="false" ht="15" hidden="false" customHeight="true" outlineLevel="0" collapsed="false">
      <c r="A14" s="8" t="s">
        <v>15</v>
      </c>
      <c r="B14" s="6" t="n">
        <f aca="false">-MIN(Model!S4:S39)</f>
        <v>4479.59878562653</v>
      </c>
    </row>
    <row r="16" customFormat="false" ht="15" hidden="false" customHeight="true" outlineLevel="0" collapsed="false">
      <c r="A16" s="8" t="s">
        <v>16</v>
      </c>
      <c r="B16" s="6" t="n">
        <f aca="false">Assumptions!$E$27</f>
        <v>10800</v>
      </c>
    </row>
    <row r="17" customFormat="false" ht="15" hidden="false" customHeight="true" outlineLevel="0" collapsed="false">
      <c r="A17" s="5" t="s">
        <v>17</v>
      </c>
      <c r="B17" s="6" t="n">
        <f aca="false">Assumptions!$E$27+Model!S15</f>
        <v>6439.88223363878</v>
      </c>
      <c r="C17" s="6" t="n">
        <f aca="false">Assumptions!$E$27+Model!S27</f>
        <v>24011.7913722133</v>
      </c>
      <c r="D17" s="6" t="n">
        <f aca="false">Assumptions!$E$27+Model!S39</f>
        <v>114745.356124907</v>
      </c>
    </row>
    <row r="18" customFormat="false" ht="15" hidden="false" customHeight="true" outlineLevel="0" collapsed="false">
      <c r="A18" s="8" t="s">
        <v>18</v>
      </c>
      <c r="B18" s="6" t="n">
        <f aca="false">Assumptions!$E$27+MIN(Model!S4:S39)</f>
        <v>6320.40121437347</v>
      </c>
    </row>
    <row r="19" customFormat="false" ht="15" hidden="false" customHeight="true" outlineLevel="0" collapsed="false">
      <c r="A19" s="8" t="s">
        <v>19</v>
      </c>
      <c r="B19" s="10" t="str">
        <f aca="false">IF(B18&gt;0,"Yes - with buffer","No")</f>
        <v>Yes - with buffer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3"/>
    <col collapsed="false" customWidth="true" hidden="false" outlineLevel="0" max="5" min="5" style="1" width="12"/>
    <col collapsed="false" customWidth="true" hidden="false" outlineLevel="0" max="6" min="6" style="1" width="40"/>
  </cols>
  <sheetData>
    <row r="1" customFormat="false" ht="17.2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21</v>
      </c>
    </row>
    <row r="4" customFormat="false" ht="15" hidden="false" customHeight="true" outlineLevel="0" collapsed="false">
      <c r="A4" s="8" t="s">
        <v>22</v>
      </c>
      <c r="B4" s="11" t="s">
        <v>23</v>
      </c>
    </row>
    <row r="6" customFormat="false" ht="15" hidden="false" customHeight="true" outlineLevel="0" collapsed="false">
      <c r="A6" s="4" t="s">
        <v>24</v>
      </c>
      <c r="B6" s="4" t="s">
        <v>25</v>
      </c>
      <c r="C6" s="4" t="s">
        <v>23</v>
      </c>
      <c r="D6" s="4" t="s">
        <v>26</v>
      </c>
      <c r="E6" s="4" t="s">
        <v>27</v>
      </c>
      <c r="F6" s="4" t="s">
        <v>28</v>
      </c>
    </row>
    <row r="7" customFormat="false" ht="15" hidden="false" customHeight="true" outlineLevel="0" collapsed="false">
      <c r="A7" s="5" t="s">
        <v>29</v>
      </c>
      <c r="B7" s="12" t="n">
        <v>700</v>
      </c>
      <c r="C7" s="12" t="n">
        <v>1300</v>
      </c>
      <c r="D7" s="12" t="n">
        <v>2200</v>
      </c>
      <c r="E7" s="13" t="n">
        <f aca="false">INDEX(B7:D7,MATCH($B$4,$B$6:$D$6,0))</f>
        <v>1300</v>
      </c>
      <c r="F7" s="3" t="s">
        <v>30</v>
      </c>
    </row>
    <row r="8" customFormat="false" ht="15" hidden="false" customHeight="true" outlineLevel="0" collapsed="false">
      <c r="A8" s="5" t="s">
        <v>31</v>
      </c>
      <c r="B8" s="14" t="n">
        <v>0.06</v>
      </c>
      <c r="C8" s="14" t="n">
        <v>0.09</v>
      </c>
      <c r="D8" s="14" t="n">
        <v>0.13</v>
      </c>
      <c r="E8" s="15" t="n">
        <f aca="false">INDEX(B8:D8,MATCH($B$4,$B$6:$D$6,0))</f>
        <v>0.09</v>
      </c>
      <c r="F8" s="3" t="s">
        <v>32</v>
      </c>
    </row>
    <row r="9" customFormat="false" ht="15" hidden="false" customHeight="true" outlineLevel="0" collapsed="false">
      <c r="A9" s="5" t="s">
        <v>33</v>
      </c>
      <c r="B9" s="14" t="n">
        <v>0.1</v>
      </c>
      <c r="C9" s="14" t="n">
        <v>0.14</v>
      </c>
      <c r="D9" s="14" t="n">
        <v>0.2</v>
      </c>
      <c r="E9" s="15" t="n">
        <f aca="false">INDEX(B9:D9,MATCH($B$4,$B$6:$D$6,0))</f>
        <v>0.14</v>
      </c>
      <c r="F9" s="3" t="s">
        <v>34</v>
      </c>
    </row>
    <row r="10" customFormat="false" ht="15" hidden="false" customHeight="true" outlineLevel="0" collapsed="false">
      <c r="A10" s="5" t="s">
        <v>35</v>
      </c>
      <c r="B10" s="14" t="n">
        <v>0.55</v>
      </c>
      <c r="C10" s="14" t="n">
        <v>0.6</v>
      </c>
      <c r="D10" s="14" t="n">
        <v>0.65</v>
      </c>
      <c r="E10" s="15" t="n">
        <f aca="false">INDEX(B10:D10,MATCH($B$4,$B$6:$D$6,0))</f>
        <v>0.6</v>
      </c>
      <c r="F10" s="3" t="s">
        <v>36</v>
      </c>
    </row>
    <row r="11" customFormat="false" ht="15" hidden="false" customHeight="true" outlineLevel="0" collapsed="false">
      <c r="A11" s="5" t="s">
        <v>37</v>
      </c>
      <c r="B11" s="14" t="n">
        <v>0.2</v>
      </c>
      <c r="C11" s="14" t="n">
        <v>0.16</v>
      </c>
      <c r="D11" s="14" t="n">
        <v>0.13</v>
      </c>
      <c r="E11" s="15" t="n">
        <f aca="false">INDEX(B11:D11,MATCH($B$4,$B$6:$D$6,0))</f>
        <v>0.16</v>
      </c>
      <c r="F11" s="3" t="s">
        <v>38</v>
      </c>
    </row>
    <row r="12" customFormat="false" ht="15" hidden="false" customHeight="true" outlineLevel="0" collapsed="false">
      <c r="A12" s="5" t="s">
        <v>39</v>
      </c>
      <c r="B12" s="14" t="n">
        <v>0.018</v>
      </c>
      <c r="C12" s="14" t="n">
        <v>0.028</v>
      </c>
      <c r="D12" s="14" t="n">
        <v>0.042</v>
      </c>
      <c r="E12" s="15" t="n">
        <f aca="false">INDEX(B12:D12,MATCH($B$4,$B$6:$D$6,0))</f>
        <v>0.028</v>
      </c>
      <c r="F12" s="3" t="s">
        <v>40</v>
      </c>
    </row>
    <row r="13" customFormat="false" ht="15" hidden="false" customHeight="true" outlineLevel="0" collapsed="false">
      <c r="A13" s="5" t="s">
        <v>41</v>
      </c>
      <c r="B13" s="14" t="n">
        <v>0.1</v>
      </c>
      <c r="C13" s="14" t="n">
        <v>0.08</v>
      </c>
      <c r="D13" s="14" t="n">
        <v>0.06</v>
      </c>
      <c r="E13" s="15" t="n">
        <f aca="false">INDEX(B13:D13,MATCH($B$4,$B$6:$D$6,0))</f>
        <v>0.08</v>
      </c>
      <c r="F13" s="3" t="s">
        <v>42</v>
      </c>
    </row>
    <row r="14" customFormat="false" ht="15" hidden="false" customHeight="true" outlineLevel="0" collapsed="false">
      <c r="A14" s="5" t="s">
        <v>43</v>
      </c>
      <c r="B14" s="16" t="n">
        <v>4</v>
      </c>
      <c r="C14" s="16" t="n">
        <v>4</v>
      </c>
      <c r="D14" s="16" t="n">
        <v>4</v>
      </c>
      <c r="E14" s="17" t="n">
        <f aca="false">INDEX(B14:D14,MATCH($B$4,$B$6:$D$6,0))</f>
        <v>4</v>
      </c>
      <c r="F14" s="3" t="s">
        <v>44</v>
      </c>
    </row>
    <row r="15" customFormat="false" ht="15" hidden="false" customHeight="true" outlineLevel="0" collapsed="false">
      <c r="A15" s="5" t="s">
        <v>45</v>
      </c>
      <c r="B15" s="16" t="n">
        <v>11</v>
      </c>
      <c r="C15" s="16" t="n">
        <v>11</v>
      </c>
      <c r="D15" s="16" t="n">
        <v>11</v>
      </c>
      <c r="E15" s="17" t="n">
        <f aca="false">INDEX(B15:D15,MATCH($B$4,$B$6:$D$6,0))</f>
        <v>11</v>
      </c>
      <c r="F15" s="3" t="s">
        <v>46</v>
      </c>
    </row>
    <row r="16" customFormat="false" ht="15" hidden="false" customHeight="true" outlineLevel="0" collapsed="false">
      <c r="A16" s="5" t="s">
        <v>47</v>
      </c>
      <c r="B16" s="14" t="n">
        <v>0.12</v>
      </c>
      <c r="C16" s="14" t="n">
        <v>0.2</v>
      </c>
      <c r="D16" s="14" t="n">
        <v>0.3</v>
      </c>
      <c r="E16" s="15" t="n">
        <f aca="false">INDEX(B16:D16,MATCH($B$4,$B$6:$D$6,0))</f>
        <v>0.2</v>
      </c>
      <c r="F16" s="3" t="s">
        <v>48</v>
      </c>
    </row>
    <row r="17" customFormat="false" ht="15" hidden="false" customHeight="true" outlineLevel="0" collapsed="false">
      <c r="A17" s="5" t="s">
        <v>49</v>
      </c>
      <c r="B17" s="16" t="n">
        <v>0.9</v>
      </c>
      <c r="C17" s="16" t="n">
        <v>0.9</v>
      </c>
      <c r="D17" s="16" t="n">
        <v>0.9</v>
      </c>
      <c r="E17" s="17" t="n">
        <f aca="false">INDEX(B17:D17,MATCH($B$4,$B$6:$D$6,0))</f>
        <v>0.9</v>
      </c>
      <c r="F17" s="3" t="s">
        <v>50</v>
      </c>
    </row>
    <row r="18" customFormat="false" ht="15" hidden="false" customHeight="true" outlineLevel="0" collapsed="false">
      <c r="A18" s="5" t="s">
        <v>51</v>
      </c>
      <c r="B18" s="16" t="n">
        <v>3.1</v>
      </c>
      <c r="C18" s="16" t="n">
        <v>3.1</v>
      </c>
      <c r="D18" s="16" t="n">
        <v>3.1</v>
      </c>
      <c r="E18" s="17" t="n">
        <f aca="false">INDEX(B18:D18,MATCH($B$4,$B$6:$D$6,0))</f>
        <v>3.1</v>
      </c>
      <c r="F18" s="3" t="s">
        <v>52</v>
      </c>
    </row>
    <row r="19" customFormat="false" ht="15" hidden="false" customHeight="true" outlineLevel="0" collapsed="false">
      <c r="A19" s="5" t="s">
        <v>53</v>
      </c>
      <c r="B19" s="14" t="n">
        <v>0.15</v>
      </c>
      <c r="C19" s="14" t="n">
        <v>0.15</v>
      </c>
      <c r="D19" s="14" t="n">
        <v>0.15</v>
      </c>
      <c r="E19" s="15" t="n">
        <f aca="false">INDEX(B19:D19,MATCH($B$4,$B$6:$D$6,0))</f>
        <v>0.15</v>
      </c>
      <c r="F19" s="3" t="s">
        <v>54</v>
      </c>
    </row>
    <row r="20" customFormat="false" ht="15" hidden="false" customHeight="true" outlineLevel="0" collapsed="false">
      <c r="A20" s="5" t="s">
        <v>55</v>
      </c>
      <c r="B20" s="18" t="n">
        <v>0</v>
      </c>
      <c r="C20" s="18" t="n">
        <v>250</v>
      </c>
      <c r="D20" s="18" t="n">
        <v>600</v>
      </c>
      <c r="E20" s="19" t="n">
        <f aca="false">INDEX(B20:D20,MATCH($B$4,$B$6:$D$6,0))</f>
        <v>250</v>
      </c>
      <c r="F20" s="3" t="s">
        <v>56</v>
      </c>
    </row>
    <row r="21" customFormat="false" ht="15" hidden="false" customHeight="true" outlineLevel="0" collapsed="false">
      <c r="A21" s="5" t="s">
        <v>57</v>
      </c>
      <c r="B21" s="14" t="n">
        <v>0.04</v>
      </c>
      <c r="C21" s="14" t="n">
        <v>0.05</v>
      </c>
      <c r="D21" s="14" t="n">
        <v>0.06</v>
      </c>
      <c r="E21" s="15" t="n">
        <f aca="false">INDEX(B21:D21,MATCH($B$4,$B$6:$D$6,0))</f>
        <v>0.05</v>
      </c>
      <c r="F21" s="3" t="s">
        <v>32</v>
      </c>
    </row>
    <row r="22" customFormat="false" ht="15" hidden="false" customHeight="true" outlineLevel="0" collapsed="false">
      <c r="A22" s="5" t="s">
        <v>58</v>
      </c>
      <c r="B22" s="18" t="n">
        <v>4</v>
      </c>
      <c r="C22" s="18" t="n">
        <v>3.5</v>
      </c>
      <c r="D22" s="18" t="n">
        <v>3</v>
      </c>
      <c r="E22" s="19" t="n">
        <f aca="false">INDEX(B22:D22,MATCH($B$4,$B$6:$D$6,0))</f>
        <v>3.5</v>
      </c>
      <c r="F22" s="3" t="s">
        <v>59</v>
      </c>
    </row>
    <row r="23" customFormat="false" ht="15" hidden="false" customHeight="true" outlineLevel="0" collapsed="false">
      <c r="A23" s="5" t="s">
        <v>60</v>
      </c>
      <c r="B23" s="16" t="n">
        <v>0.04</v>
      </c>
      <c r="C23" s="16" t="n">
        <v>0.03</v>
      </c>
      <c r="D23" s="16" t="n">
        <v>0.02</v>
      </c>
      <c r="E23" s="17" t="n">
        <f aca="false">INDEX(B23:D23,MATCH($B$4,$B$6:$D$6,0))</f>
        <v>0.03</v>
      </c>
      <c r="F23" s="3" t="s">
        <v>61</v>
      </c>
    </row>
    <row r="24" customFormat="false" ht="15" hidden="false" customHeight="true" outlineLevel="0" collapsed="false">
      <c r="A24" s="5" t="s">
        <v>62</v>
      </c>
      <c r="B24" s="18" t="n">
        <v>520</v>
      </c>
      <c r="C24" s="18" t="n">
        <v>520</v>
      </c>
      <c r="D24" s="18" t="n">
        <v>520</v>
      </c>
      <c r="E24" s="19" t="n">
        <f aca="false">INDEX(B24:D24,MATCH($B$4,$B$6:$D$6,0))</f>
        <v>520</v>
      </c>
      <c r="F24" s="3" t="s">
        <v>63</v>
      </c>
    </row>
    <row r="25" customFormat="false" ht="15" hidden="false" customHeight="true" outlineLevel="0" collapsed="false">
      <c r="A25" s="5" t="s">
        <v>64</v>
      </c>
      <c r="B25" s="12" t="n">
        <v>20</v>
      </c>
      <c r="C25" s="12" t="n">
        <v>16</v>
      </c>
      <c r="D25" s="12" t="n">
        <v>13</v>
      </c>
      <c r="E25" s="13" t="n">
        <f aca="false">INDEX(B25:D25,MATCH($B$4,$B$6:$D$6,0))</f>
        <v>16</v>
      </c>
      <c r="F25" s="3" t="s">
        <v>65</v>
      </c>
    </row>
    <row r="26" customFormat="false" ht="15" hidden="false" customHeight="true" outlineLevel="0" collapsed="false">
      <c r="A26" s="5" t="s">
        <v>66</v>
      </c>
      <c r="B26" s="18" t="n">
        <v>0</v>
      </c>
      <c r="C26" s="18" t="n">
        <v>0</v>
      </c>
      <c r="D26" s="18" t="n">
        <v>0</v>
      </c>
      <c r="E26" s="19" t="n">
        <f aca="false">INDEX(B26:D26,MATCH($B$4,$B$6:$D$6,0))</f>
        <v>0</v>
      </c>
      <c r="F26" s="3" t="s">
        <v>67</v>
      </c>
    </row>
    <row r="27" customFormat="false" ht="15" hidden="false" customHeight="true" outlineLevel="0" collapsed="false">
      <c r="A27" s="5" t="s">
        <v>68</v>
      </c>
      <c r="B27" s="18" t="n">
        <v>10800</v>
      </c>
      <c r="C27" s="18" t="n">
        <v>10800</v>
      </c>
      <c r="D27" s="18" t="n">
        <v>10800</v>
      </c>
      <c r="E27" s="19" t="n">
        <f aca="false">INDEX(B27:D27,MATCH($B$4,$B$6:$D$6,0))</f>
        <v>10800</v>
      </c>
      <c r="F27" s="3" t="s">
        <v>69</v>
      </c>
    </row>
    <row r="28" customFormat="false" ht="15" hidden="false" customHeight="true" outlineLevel="0" collapsed="false">
      <c r="A28" s="3" t="s">
        <v>70</v>
      </c>
    </row>
    <row r="29" customFormat="false" ht="15" hidden="false" customHeight="true" outlineLevel="0" collapsed="false">
      <c r="A29" s="5" t="s">
        <v>71</v>
      </c>
      <c r="B29" s="18" t="n">
        <v>9999</v>
      </c>
      <c r="C29" s="18" t="n">
        <v>20</v>
      </c>
      <c r="D29" s="18" t="n">
        <v>16</v>
      </c>
      <c r="E29" s="19" t="n">
        <f aca="false">INDEX(B29:D29,MATCH($B$4,$B$6:$D$6,0))</f>
        <v>20</v>
      </c>
      <c r="F29" s="3" t="s">
        <v>72</v>
      </c>
    </row>
    <row r="30" customFormat="false" ht="15" hidden="false" customHeight="true" outlineLevel="0" collapsed="false">
      <c r="A30" s="5" t="s">
        <v>73</v>
      </c>
      <c r="B30" s="18" t="n">
        <v>0</v>
      </c>
      <c r="C30" s="18" t="n">
        <v>2</v>
      </c>
      <c r="D30" s="18" t="n">
        <v>5</v>
      </c>
      <c r="E30" s="19" t="n">
        <f aca="false">INDEX(B30:D30,MATCH($B$4,$B$6:$D$6,0))</f>
        <v>2</v>
      </c>
      <c r="F30" s="3" t="s">
        <v>74</v>
      </c>
    </row>
    <row r="31" customFormat="false" ht="15" hidden="false" customHeight="true" outlineLevel="0" collapsed="false">
      <c r="A31" s="5" t="s">
        <v>75</v>
      </c>
      <c r="B31" s="18" t="n">
        <v>0.03</v>
      </c>
      <c r="C31" s="18" t="n">
        <v>0.03</v>
      </c>
      <c r="D31" s="18" t="n">
        <v>0.02</v>
      </c>
      <c r="E31" s="19" t="n">
        <f aca="false">INDEX(B31:D31,MATCH($B$4,$B$6:$D$6,0))</f>
        <v>0.03</v>
      </c>
      <c r="F31" s="3" t="s">
        <v>76</v>
      </c>
    </row>
    <row r="32" customFormat="false" ht="15" hidden="false" customHeight="true" outlineLevel="0" collapsed="false">
      <c r="A32" s="5" t="s">
        <v>77</v>
      </c>
      <c r="B32" s="18" t="n">
        <v>0</v>
      </c>
      <c r="C32" s="18" t="n">
        <v>120</v>
      </c>
      <c r="D32" s="18" t="n">
        <v>180</v>
      </c>
      <c r="E32" s="19" t="n">
        <f aca="false">INDEX(B32:D32,MATCH($B$4,$B$6:$D$6,0))</f>
        <v>120</v>
      </c>
      <c r="F32" s="3" t="s">
        <v>78</v>
      </c>
    </row>
    <row r="33" customFormat="false" ht="15" hidden="false" customHeight="true" outlineLevel="0" collapsed="false">
      <c r="A33" s="5" t="s">
        <v>79</v>
      </c>
      <c r="B33" s="18" t="n">
        <v>0</v>
      </c>
      <c r="C33" s="18" t="n">
        <v>14</v>
      </c>
      <c r="D33" s="18" t="n">
        <v>18</v>
      </c>
      <c r="E33" s="19" t="n">
        <f aca="false">INDEX(B33:D33,MATCH($B$4,$B$6:$D$6,0))</f>
        <v>14</v>
      </c>
      <c r="F33" s="3" t="s">
        <v>80</v>
      </c>
    </row>
  </sheetData>
  <dataValidations count="1">
    <dataValidation allowBlank="false" errorStyle="stop" operator="between" showDropDown="false" showErrorMessage="false" showInputMessage="false" sqref="B4" type="list">
      <formula1>"Conservative,Base,Upside"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19" min="2" style="1" width="10"/>
    <col collapsed="false" customWidth="true" hidden="false" outlineLevel="0" max="20" min="20" style="1" width="1"/>
  </cols>
  <sheetData>
    <row r="1" customFormat="false" ht="17.25" hidden="false" customHeight="true" outlineLevel="0" collapsed="false">
      <c r="A1" s="2" t="s">
        <v>81</v>
      </c>
    </row>
    <row r="3" customFormat="false" ht="102" hidden="false" customHeight="true" outlineLevel="0" collapsed="false">
      <c r="A3" s="20" t="s">
        <v>82</v>
      </c>
      <c r="B3" s="20" t="s">
        <v>83</v>
      </c>
      <c r="C3" s="20" t="s">
        <v>84</v>
      </c>
      <c r="D3" s="20" t="s">
        <v>85</v>
      </c>
      <c r="E3" s="20" t="s">
        <v>86</v>
      </c>
      <c r="F3" s="20" t="s">
        <v>87</v>
      </c>
      <c r="G3" s="20" t="s">
        <v>88</v>
      </c>
      <c r="H3" s="20" t="s">
        <v>89</v>
      </c>
      <c r="I3" s="20" t="s">
        <v>90</v>
      </c>
      <c r="J3" s="20" t="s">
        <v>91</v>
      </c>
      <c r="K3" s="20" t="s">
        <v>92</v>
      </c>
      <c r="L3" s="20" t="s">
        <v>93</v>
      </c>
      <c r="M3" s="20" t="s">
        <v>94</v>
      </c>
      <c r="N3" s="20" t="s">
        <v>95</v>
      </c>
      <c r="O3" s="20" t="s">
        <v>96</v>
      </c>
      <c r="P3" s="20" t="s">
        <v>97</v>
      </c>
      <c r="Q3" s="20" t="s">
        <v>7</v>
      </c>
      <c r="R3" s="20" t="s">
        <v>8</v>
      </c>
      <c r="S3" s="20" t="s">
        <v>98</v>
      </c>
      <c r="T3" s="20" t="s">
        <v>99</v>
      </c>
      <c r="U3" s="20" t="s">
        <v>100</v>
      </c>
      <c r="V3" s="20" t="s">
        <v>101</v>
      </c>
      <c r="W3" s="20" t="s">
        <v>102</v>
      </c>
    </row>
    <row r="4" customFormat="false" ht="15" hidden="false" customHeight="true" outlineLevel="0" collapsed="false">
      <c r="A4" s="5" t="n">
        <v>1</v>
      </c>
      <c r="B4" s="21" t="n">
        <f aca="false">Assumptions!$E$20</f>
        <v>250</v>
      </c>
      <c r="C4" s="22" t="n">
        <f aca="false">B4/Assumptions!$E$22</f>
        <v>71.4285714285714</v>
      </c>
      <c r="D4" s="22" t="n">
        <f aca="false">Assumptions!$E$7*(1+Assumptions!$E$8)^(A4-1)</f>
        <v>1300</v>
      </c>
      <c r="E4" s="22" t="n">
        <v>0</v>
      </c>
      <c r="F4" s="22" t="n">
        <f aca="false">C4+D4+E4</f>
        <v>1371.42857142857</v>
      </c>
      <c r="G4" s="22" t="n">
        <f aca="false">F4*Assumptions!$E$10</f>
        <v>822.857142857143</v>
      </c>
      <c r="H4" s="22" t="n">
        <f aca="false">G4</f>
        <v>822.857142857143</v>
      </c>
      <c r="I4" s="22" t="n">
        <f aca="false">G4*Assumptions!$E$12</f>
        <v>23.04</v>
      </c>
      <c r="J4" s="22" t="n">
        <f aca="false">I4</f>
        <v>23.04</v>
      </c>
      <c r="K4" s="21" t="n">
        <f aca="false">J4*(Assumptions!$E$14*(1-Assumptions!$E$16)+Assumptions!$E$15*Assumptions!$E$16)</f>
        <v>124.416</v>
      </c>
      <c r="L4" s="21" t="n">
        <f aca="false">K4*(1-Assumptions!$E$19)+V4</f>
        <v>105.7536</v>
      </c>
      <c r="M4" s="21" t="n">
        <f aca="false">H4*Assumptions!$E$23+J4*(Assumptions!$E$17*(1-Assumptions!$E$16)+Assumptions!$E$18*Assumptions!$E$16)</f>
        <v>55.5593142857143</v>
      </c>
      <c r="N4" s="21" t="n">
        <f aca="false">B4</f>
        <v>250</v>
      </c>
      <c r="O4" s="21" t="n">
        <f aca="false">IF(A4&gt;=Assumptions!$E$25,Assumptions!$E$26,0)</f>
        <v>0</v>
      </c>
      <c r="P4" s="21" t="n">
        <f aca="false">Assumptions!$E$24</f>
        <v>520</v>
      </c>
      <c r="Q4" s="21" t="n">
        <f aca="false">M4+N4+O4+P4+W4</f>
        <v>825.559314285714</v>
      </c>
      <c r="R4" s="21" t="n">
        <f aca="false">L4-Q4</f>
        <v>-719.805714285714</v>
      </c>
      <c r="S4" s="21" t="n">
        <f aca="false">R4</f>
        <v>-719.805714285714</v>
      </c>
      <c r="T4" s="1" t="n">
        <f aca="false">IF(R4&gt;0,A4,9999)</f>
        <v>9999</v>
      </c>
      <c r="U4" s="1" t="n">
        <f aca="false">IF(A4&gt;=Assumptions!$E$29,Assumptions!$E$30,0)</f>
        <v>0</v>
      </c>
      <c r="V4" s="1" t="n">
        <f aca="false">U4*Assumptions!$E$32</f>
        <v>0</v>
      </c>
      <c r="W4" s="1" t="n">
        <f aca="false">U4*Assumptions!$E$33</f>
        <v>0</v>
      </c>
    </row>
    <row r="5" customFormat="false" ht="15" hidden="false" customHeight="true" outlineLevel="0" collapsed="false">
      <c r="A5" s="5" t="n">
        <v>2</v>
      </c>
      <c r="B5" s="21" t="n">
        <f aca="false">B4*(1+Assumptions!$E$21)</f>
        <v>262.5</v>
      </c>
      <c r="C5" s="22" t="n">
        <f aca="false">B5/Assumptions!$E$22</f>
        <v>75</v>
      </c>
      <c r="D5" s="22" t="n">
        <f aca="false">Assumptions!$E$7*(1+Assumptions!$E$8)^(A5-1)</f>
        <v>1417</v>
      </c>
      <c r="E5" s="22" t="n">
        <f aca="false">H4*Assumptions!$E$9</f>
        <v>115.2</v>
      </c>
      <c r="F5" s="22" t="n">
        <f aca="false">C5+D5+E5</f>
        <v>1607.2</v>
      </c>
      <c r="G5" s="22" t="n">
        <f aca="false">F5*Assumptions!$E$10</f>
        <v>964.32</v>
      </c>
      <c r="H5" s="22" t="n">
        <f aca="false">H4*(1-Assumptions!$E$11)+G5</f>
        <v>1655.52</v>
      </c>
      <c r="I5" s="22" t="n">
        <f aca="false">G5*Assumptions!$E$12</f>
        <v>27.00096</v>
      </c>
      <c r="J5" s="22" t="n">
        <f aca="false">J4*(1-Assumptions!$E$13)+I5</f>
        <v>48.19776</v>
      </c>
      <c r="K5" s="21" t="n">
        <f aca="false">J5*(Assumptions!$E$14*(1-Assumptions!$E$16)+Assumptions!$E$15*Assumptions!$E$16)</f>
        <v>260.267904</v>
      </c>
      <c r="L5" s="21" t="n">
        <f aca="false">K5*(1-Assumptions!$E$19)+V5</f>
        <v>221.2277184</v>
      </c>
      <c r="M5" s="21" t="n">
        <f aca="false">H5*Assumptions!$E$23+J5*(Assumptions!$E$17*(1-Assumptions!$E$16)+Assumptions!$E$18*Assumptions!$E$16)</f>
        <v>114.2505984</v>
      </c>
      <c r="N5" s="21" t="n">
        <f aca="false">B5</f>
        <v>262.5</v>
      </c>
      <c r="O5" s="21" t="n">
        <f aca="false">IF(A5&gt;=Assumptions!$E$25,Assumptions!$E$26,0)</f>
        <v>0</v>
      </c>
      <c r="P5" s="21" t="n">
        <f aca="false">Assumptions!$E$24</f>
        <v>520</v>
      </c>
      <c r="Q5" s="21" t="n">
        <f aca="false">M5+N5+O5+P5+W5</f>
        <v>896.7505984</v>
      </c>
      <c r="R5" s="21" t="n">
        <f aca="false">L5-Q5</f>
        <v>-675.52288</v>
      </c>
      <c r="S5" s="21" t="n">
        <f aca="false">S4+R5</f>
        <v>-1395.32859428571</v>
      </c>
      <c r="T5" s="1" t="n">
        <f aca="false">IF(R5&gt;0,A5,9999)</f>
        <v>9999</v>
      </c>
      <c r="U5" s="1" t="n">
        <f aca="false">IF(A5&gt;=Assumptions!$E$29,U4*(1-Assumptions!$E$31)+Assumptions!$E$30,0)</f>
        <v>0</v>
      </c>
      <c r="V5" s="1" t="n">
        <f aca="false">U5*Assumptions!$E$32</f>
        <v>0</v>
      </c>
      <c r="W5" s="1" t="n">
        <f aca="false">U5*Assumptions!$E$33</f>
        <v>0</v>
      </c>
    </row>
    <row r="6" customFormat="false" ht="15" hidden="false" customHeight="true" outlineLevel="0" collapsed="false">
      <c r="A6" s="5" t="n">
        <v>3</v>
      </c>
      <c r="B6" s="21" t="n">
        <f aca="false">B5*(1+Assumptions!$E$21)</f>
        <v>275.625</v>
      </c>
      <c r="C6" s="22" t="n">
        <f aca="false">B6/Assumptions!$E$22</f>
        <v>78.75</v>
      </c>
      <c r="D6" s="22" t="n">
        <f aca="false">Assumptions!$E$7*(1+Assumptions!$E$8)^(A6-1)</f>
        <v>1544.53</v>
      </c>
      <c r="E6" s="22" t="n">
        <f aca="false">H5*Assumptions!$E$9</f>
        <v>231.7728</v>
      </c>
      <c r="F6" s="22" t="n">
        <f aca="false">C6+D6+E6</f>
        <v>1855.0528</v>
      </c>
      <c r="G6" s="22" t="n">
        <f aca="false">F6*Assumptions!$E$10</f>
        <v>1113.03168</v>
      </c>
      <c r="H6" s="22" t="n">
        <f aca="false">H5*(1-Assumptions!$E$11)+G6</f>
        <v>2503.66848</v>
      </c>
      <c r="I6" s="22" t="n">
        <f aca="false">G6*Assumptions!$E$12</f>
        <v>31.16488704</v>
      </c>
      <c r="J6" s="22" t="n">
        <f aca="false">J5*(1-Assumptions!$E$13)+I6</f>
        <v>75.50682624</v>
      </c>
      <c r="K6" s="21" t="n">
        <f aca="false">J6*(Assumptions!$E$14*(1-Assumptions!$E$16)+Assumptions!$E$15*Assumptions!$E$16)</f>
        <v>407.736861696</v>
      </c>
      <c r="L6" s="21" t="n">
        <f aca="false">K6*(1-Assumptions!$E$19)+V6</f>
        <v>346.5763324416</v>
      </c>
      <c r="M6" s="21" t="n">
        <f aca="false">H6*Assumptions!$E$23+J6*(Assumptions!$E$17*(1-Assumptions!$E$16)+Assumptions!$E$18*Assumptions!$E$16)</f>
        <v>176.2892015616</v>
      </c>
      <c r="N6" s="21" t="n">
        <f aca="false">B6</f>
        <v>275.625</v>
      </c>
      <c r="O6" s="21" t="n">
        <f aca="false">IF(A6&gt;=Assumptions!$E$25,Assumptions!$E$26,0)</f>
        <v>0</v>
      </c>
      <c r="P6" s="21" t="n">
        <f aca="false">Assumptions!$E$24</f>
        <v>520</v>
      </c>
      <c r="Q6" s="21" t="n">
        <f aca="false">M6+N6+O6+P6+W6</f>
        <v>971.9142015616</v>
      </c>
      <c r="R6" s="21" t="n">
        <f aca="false">L6-Q6</f>
        <v>-625.33786912</v>
      </c>
      <c r="S6" s="21" t="n">
        <f aca="false">S5+R6</f>
        <v>-2020.66646340571</v>
      </c>
      <c r="T6" s="1" t="n">
        <f aca="false">IF(R6&gt;0,A6,9999)</f>
        <v>9999</v>
      </c>
      <c r="U6" s="1" t="n">
        <f aca="false">IF(A6&gt;=Assumptions!$E$29,U5*(1-Assumptions!$E$31)+Assumptions!$E$30,0)</f>
        <v>0</v>
      </c>
      <c r="V6" s="1" t="n">
        <f aca="false">U6*Assumptions!$E$32</f>
        <v>0</v>
      </c>
      <c r="W6" s="1" t="n">
        <f aca="false">U6*Assumptions!$E$33</f>
        <v>0</v>
      </c>
    </row>
    <row r="7" customFormat="false" ht="15" hidden="false" customHeight="true" outlineLevel="0" collapsed="false">
      <c r="A7" s="5" t="n">
        <v>4</v>
      </c>
      <c r="B7" s="21" t="n">
        <f aca="false">B6*(1+Assumptions!$E$21)</f>
        <v>289.40625</v>
      </c>
      <c r="C7" s="22" t="n">
        <f aca="false">B7/Assumptions!$E$22</f>
        <v>82.6875</v>
      </c>
      <c r="D7" s="22" t="n">
        <f aca="false">Assumptions!$E$7*(1+Assumptions!$E$8)^(A7-1)</f>
        <v>1683.5377</v>
      </c>
      <c r="E7" s="22" t="n">
        <f aca="false">H6*Assumptions!$E$9</f>
        <v>350.5135872</v>
      </c>
      <c r="F7" s="22" t="n">
        <f aca="false">C7+D7+E7</f>
        <v>2116.7387872</v>
      </c>
      <c r="G7" s="22" t="n">
        <f aca="false">F7*Assumptions!$E$10</f>
        <v>1270.04327232</v>
      </c>
      <c r="H7" s="22" t="n">
        <f aca="false">H6*(1-Assumptions!$E$11)+G7</f>
        <v>3373.12479552</v>
      </c>
      <c r="I7" s="22" t="n">
        <f aca="false">G7*Assumptions!$E$12</f>
        <v>35.56121162496</v>
      </c>
      <c r="J7" s="22" t="n">
        <f aca="false">J6*(1-Assumptions!$E$13)+I7</f>
        <v>105.02749176576</v>
      </c>
      <c r="K7" s="21" t="n">
        <f aca="false">J7*(Assumptions!$E$14*(1-Assumptions!$E$16)+Assumptions!$E$15*Assumptions!$E$16)</f>
        <v>567.148455535104</v>
      </c>
      <c r="L7" s="21" t="n">
        <f aca="false">K7*(1-Assumptions!$E$19)+V7</f>
        <v>482.076187204838</v>
      </c>
      <c r="M7" s="21" t="n">
        <f aca="false">H7*Assumptions!$E$23+J7*(Assumptions!$E$17*(1-Assumptions!$E$16)+Assumptions!$E$18*Assumptions!$E$16)</f>
        <v>241.930582831718</v>
      </c>
      <c r="N7" s="21" t="n">
        <f aca="false">B7</f>
        <v>289.40625</v>
      </c>
      <c r="O7" s="21" t="n">
        <f aca="false">IF(A7&gt;=Assumptions!$E$25,Assumptions!$E$26,0)</f>
        <v>0</v>
      </c>
      <c r="P7" s="21" t="n">
        <f aca="false">Assumptions!$E$24</f>
        <v>520</v>
      </c>
      <c r="Q7" s="21" t="n">
        <f aca="false">M7+N7+O7+P7+W7</f>
        <v>1051.33683283172</v>
      </c>
      <c r="R7" s="21" t="n">
        <f aca="false">L7-Q7</f>
        <v>-569.26064562688</v>
      </c>
      <c r="S7" s="21" t="n">
        <f aca="false">S6+R7</f>
        <v>-2589.92710903259</v>
      </c>
      <c r="T7" s="1" t="n">
        <f aca="false">IF(R7&gt;0,A7,9999)</f>
        <v>9999</v>
      </c>
      <c r="U7" s="1" t="n">
        <f aca="false">IF(A7&gt;=Assumptions!$E$29,U6*(1-Assumptions!$E$31)+Assumptions!$E$30,0)</f>
        <v>0</v>
      </c>
      <c r="V7" s="1" t="n">
        <f aca="false">U7*Assumptions!$E$32</f>
        <v>0</v>
      </c>
      <c r="W7" s="1" t="n">
        <f aca="false">U7*Assumptions!$E$33</f>
        <v>0</v>
      </c>
    </row>
    <row r="8" customFormat="false" ht="15" hidden="false" customHeight="true" outlineLevel="0" collapsed="false">
      <c r="A8" s="5" t="n">
        <v>5</v>
      </c>
      <c r="B8" s="21" t="n">
        <f aca="false">B7*(1+Assumptions!$E$21)</f>
        <v>303.8765625</v>
      </c>
      <c r="C8" s="22" t="n">
        <f aca="false">B8/Assumptions!$E$22</f>
        <v>86.821875</v>
      </c>
      <c r="D8" s="22" t="n">
        <f aca="false">Assumptions!$E$7*(1+Assumptions!$E$8)^(A8-1)</f>
        <v>1835.056093</v>
      </c>
      <c r="E8" s="22" t="n">
        <f aca="false">H7*Assumptions!$E$9</f>
        <v>472.2374713728</v>
      </c>
      <c r="F8" s="22" t="n">
        <f aca="false">C8+D8+E8</f>
        <v>2394.1154393728</v>
      </c>
      <c r="G8" s="22" t="n">
        <f aca="false">F8*Assumptions!$E$10</f>
        <v>1436.46926362368</v>
      </c>
      <c r="H8" s="22" t="n">
        <f aca="false">H7*(1-Assumptions!$E$11)+G8</f>
        <v>4269.89409186048</v>
      </c>
      <c r="I8" s="22" t="n">
        <f aca="false">G8*Assumptions!$E$12</f>
        <v>40.2211393814631</v>
      </c>
      <c r="J8" s="22" t="n">
        <f aca="false">J7*(1-Assumptions!$E$13)+I8</f>
        <v>136.846431805962</v>
      </c>
      <c r="K8" s="21" t="n">
        <f aca="false">J8*(Assumptions!$E$14*(1-Assumptions!$E$16)+Assumptions!$E$15*Assumptions!$E$16)</f>
        <v>738.970731752196</v>
      </c>
      <c r="L8" s="21" t="n">
        <f aca="false">K8*(1-Assumptions!$E$19)+V8</f>
        <v>628.125121989367</v>
      </c>
      <c r="M8" s="21" t="n">
        <f aca="false">H8*Assumptions!$E$23+J8*(Assumptions!$E$17*(1-Assumptions!$E$16)+Assumptions!$E$18*Assumptions!$E$16)</f>
        <v>311.471041375804</v>
      </c>
      <c r="N8" s="21" t="n">
        <f aca="false">B8</f>
        <v>303.8765625</v>
      </c>
      <c r="O8" s="21" t="n">
        <f aca="false">IF(A8&gt;=Assumptions!$E$25,Assumptions!$E$26,0)</f>
        <v>0</v>
      </c>
      <c r="P8" s="21" t="n">
        <f aca="false">Assumptions!$E$24</f>
        <v>520</v>
      </c>
      <c r="Q8" s="21" t="n">
        <f aca="false">M8+N8+O8+P8+W8</f>
        <v>1135.3476038758</v>
      </c>
      <c r="R8" s="21" t="n">
        <f aca="false">L8-Q8</f>
        <v>-507.222481886437</v>
      </c>
      <c r="S8" s="21" t="n">
        <f aca="false">S7+R8</f>
        <v>-3097.14959091903</v>
      </c>
      <c r="T8" s="1" t="n">
        <f aca="false">IF(R8&gt;0,A8,9999)</f>
        <v>9999</v>
      </c>
      <c r="U8" s="1" t="n">
        <f aca="false">IF(A8&gt;=Assumptions!$E$29,U7*(1-Assumptions!$E$31)+Assumptions!$E$30,0)</f>
        <v>0</v>
      </c>
      <c r="V8" s="1" t="n">
        <f aca="false">U8*Assumptions!$E$32</f>
        <v>0</v>
      </c>
      <c r="W8" s="1" t="n">
        <f aca="false">U8*Assumptions!$E$33</f>
        <v>0</v>
      </c>
    </row>
    <row r="9" customFormat="false" ht="15" hidden="false" customHeight="true" outlineLevel="0" collapsed="false">
      <c r="A9" s="5" t="n">
        <v>6</v>
      </c>
      <c r="B9" s="21" t="n">
        <f aca="false">B8*(1+Assumptions!$E$21)</f>
        <v>319.070390625</v>
      </c>
      <c r="C9" s="22" t="n">
        <f aca="false">B9/Assumptions!$E$22</f>
        <v>91.16296875</v>
      </c>
      <c r="D9" s="22" t="n">
        <f aca="false">Assumptions!$E$7*(1+Assumptions!$E$8)^(A9-1)</f>
        <v>2000.21114137</v>
      </c>
      <c r="E9" s="22" t="n">
        <f aca="false">H8*Assumptions!$E$9</f>
        <v>597.785172860467</v>
      </c>
      <c r="F9" s="22" t="n">
        <f aca="false">C9+D9+E9</f>
        <v>2689.15928298047</v>
      </c>
      <c r="G9" s="22" t="n">
        <f aca="false">F9*Assumptions!$E$10</f>
        <v>1613.49556978828</v>
      </c>
      <c r="H9" s="22" t="n">
        <f aca="false">H8*(1-Assumptions!$E$11)+G9</f>
        <v>5200.20660695108</v>
      </c>
      <c r="I9" s="22" t="n">
        <f aca="false">G9*Assumptions!$E$12</f>
        <v>45.1778759540719</v>
      </c>
      <c r="J9" s="22" t="n">
        <f aca="false">J8*(1-Assumptions!$E$13)+I9</f>
        <v>171.076593215557</v>
      </c>
      <c r="K9" s="21" t="n">
        <f aca="false">J9*(Assumptions!$E$14*(1-Assumptions!$E$16)+Assumptions!$E$15*Assumptions!$E$16)</f>
        <v>923.813603364009</v>
      </c>
      <c r="L9" s="21" t="n">
        <f aca="false">K9*(1-Assumptions!$E$19)+V9</f>
        <v>785.241562859407</v>
      </c>
      <c r="M9" s="21" t="n">
        <f aca="false">H9*Assumptions!$E$23+J9*(Assumptions!$E$17*(1-Assumptions!$E$16)+Assumptions!$E$18*Assumptions!$E$16)</f>
        <v>385.248833117379</v>
      </c>
      <c r="N9" s="21" t="n">
        <f aca="false">B9</f>
        <v>319.070390625</v>
      </c>
      <c r="O9" s="21" t="n">
        <f aca="false">IF(A9&gt;=Assumptions!$E$25,Assumptions!$E$26,0)</f>
        <v>0</v>
      </c>
      <c r="P9" s="21" t="n">
        <f aca="false">Assumptions!$E$24</f>
        <v>520</v>
      </c>
      <c r="Q9" s="21" t="n">
        <f aca="false">M9+N9+O9+P9+W9</f>
        <v>1224.31922374238</v>
      </c>
      <c r="R9" s="21" t="n">
        <f aca="false">L9-Q9</f>
        <v>-439.077660882972</v>
      </c>
      <c r="S9" s="21" t="n">
        <f aca="false">S8+R9</f>
        <v>-3536.227251802</v>
      </c>
      <c r="T9" s="1" t="n">
        <f aca="false">IF(R9&gt;0,A9,9999)</f>
        <v>9999</v>
      </c>
      <c r="U9" s="1" t="n">
        <f aca="false">IF(A9&gt;=Assumptions!$E$29,U8*(1-Assumptions!$E$31)+Assumptions!$E$30,0)</f>
        <v>0</v>
      </c>
      <c r="V9" s="1" t="n">
        <f aca="false">U9*Assumptions!$E$32</f>
        <v>0</v>
      </c>
      <c r="W9" s="1" t="n">
        <f aca="false">U9*Assumptions!$E$33</f>
        <v>0</v>
      </c>
    </row>
    <row r="10" customFormat="false" ht="15" hidden="false" customHeight="true" outlineLevel="0" collapsed="false">
      <c r="A10" s="5" t="n">
        <v>7</v>
      </c>
      <c r="B10" s="21" t="n">
        <f aca="false">B9*(1+Assumptions!$E$21)</f>
        <v>335.02391015625</v>
      </c>
      <c r="C10" s="22" t="n">
        <f aca="false">B10/Assumptions!$E$22</f>
        <v>95.7211171875</v>
      </c>
      <c r="D10" s="22" t="n">
        <f aca="false">Assumptions!$E$7*(1+Assumptions!$E$8)^(A10-1)</f>
        <v>2180.2301440933</v>
      </c>
      <c r="E10" s="22" t="n">
        <f aca="false">H9*Assumptions!$E$9</f>
        <v>728.028924973152</v>
      </c>
      <c r="F10" s="22" t="n">
        <f aca="false">C10+D10+E10</f>
        <v>3003.98018625395</v>
      </c>
      <c r="G10" s="22" t="n">
        <f aca="false">F10*Assumptions!$E$10</f>
        <v>1802.38811175237</v>
      </c>
      <c r="H10" s="22" t="n">
        <f aca="false">H9*(1-Assumptions!$E$11)+G10</f>
        <v>6170.56166159128</v>
      </c>
      <c r="I10" s="22" t="n">
        <f aca="false">G10*Assumptions!$E$12</f>
        <v>50.4668671290664</v>
      </c>
      <c r="J10" s="22" t="n">
        <f aca="false">J9*(1-Assumptions!$E$13)+I10</f>
        <v>207.857332887379</v>
      </c>
      <c r="K10" s="21" t="n">
        <f aca="false">J10*(Assumptions!$E$14*(1-Assumptions!$E$16)+Assumptions!$E$15*Assumptions!$E$16)</f>
        <v>1122.42959759185</v>
      </c>
      <c r="L10" s="21" t="n">
        <f aca="false">K10*(1-Assumptions!$E$19)+V10</f>
        <v>954.06515795307</v>
      </c>
      <c r="M10" s="21" t="n">
        <f aca="false">H10*Assumptions!$E$23+J10*(Assumptions!$E$17*(1-Assumptions!$E$16)+Assumptions!$E$18*Assumptions!$E$16)</f>
        <v>463.645675916826</v>
      </c>
      <c r="N10" s="21" t="n">
        <f aca="false">B10</f>
        <v>335.02391015625</v>
      </c>
      <c r="O10" s="21" t="n">
        <f aca="false">IF(A10&gt;=Assumptions!$E$25,Assumptions!$E$26,0)</f>
        <v>0</v>
      </c>
      <c r="P10" s="21" t="n">
        <f aca="false">Assumptions!$E$24</f>
        <v>520</v>
      </c>
      <c r="Q10" s="21" t="n">
        <f aca="false">M10+N10+O10+P10+W10</f>
        <v>1318.66958607308</v>
      </c>
      <c r="R10" s="21" t="n">
        <f aca="false">L10-Q10</f>
        <v>-364.604428120007</v>
      </c>
      <c r="S10" s="21" t="n">
        <f aca="false">S9+R10</f>
        <v>-3900.83167992201</v>
      </c>
      <c r="T10" s="1" t="n">
        <f aca="false">IF(R10&gt;0,A10,9999)</f>
        <v>9999</v>
      </c>
      <c r="U10" s="1" t="n">
        <f aca="false">IF(A10&gt;=Assumptions!$E$29,U9*(1-Assumptions!$E$31)+Assumptions!$E$30,0)</f>
        <v>0</v>
      </c>
      <c r="V10" s="1" t="n">
        <f aca="false">U10*Assumptions!$E$32</f>
        <v>0</v>
      </c>
      <c r="W10" s="1" t="n">
        <f aca="false">U10*Assumptions!$E$33</f>
        <v>0</v>
      </c>
    </row>
    <row r="11" customFormat="false" ht="15" hidden="false" customHeight="true" outlineLevel="0" collapsed="false">
      <c r="A11" s="5" t="n">
        <v>8</v>
      </c>
      <c r="B11" s="21" t="n">
        <f aca="false">B10*(1+Assumptions!$E$21)</f>
        <v>351.775105664063</v>
      </c>
      <c r="C11" s="22" t="n">
        <f aca="false">B11/Assumptions!$E$22</f>
        <v>100.507173046875</v>
      </c>
      <c r="D11" s="22" t="n">
        <f aca="false">Assumptions!$E$7*(1+Assumptions!$E$8)^(A11-1)</f>
        <v>2376.4508570617</v>
      </c>
      <c r="E11" s="22" t="n">
        <f aca="false">H10*Assumptions!$E$9</f>
        <v>863.87863262278</v>
      </c>
      <c r="F11" s="22" t="n">
        <f aca="false">C11+D11+E11</f>
        <v>3340.83666273135</v>
      </c>
      <c r="G11" s="22" t="n">
        <f aca="false">F11*Assumptions!$E$10</f>
        <v>2004.50199763881</v>
      </c>
      <c r="H11" s="22" t="n">
        <f aca="false">H10*(1-Assumptions!$E$11)+G11</f>
        <v>7187.77379337549</v>
      </c>
      <c r="I11" s="22" t="n">
        <f aca="false">G11*Assumptions!$E$12</f>
        <v>56.1260559338867</v>
      </c>
      <c r="J11" s="22" t="n">
        <f aca="false">J10*(1-Assumptions!$E$13)+I11</f>
        <v>247.354802190275</v>
      </c>
      <c r="K11" s="21" t="n">
        <f aca="false">J11*(Assumptions!$E$14*(1-Assumptions!$E$16)+Assumptions!$E$15*Assumptions!$E$16)</f>
        <v>1335.71593182749</v>
      </c>
      <c r="L11" s="21" t="n">
        <f aca="false">K11*(1-Assumptions!$E$19)+V11</f>
        <v>1135.35854205336</v>
      </c>
      <c r="M11" s="21" t="n">
        <f aca="false">H11*Assumptions!$E$23+J11*(Assumptions!$E$17*(1-Assumptions!$E$16)+Assumptions!$E$18*Assumptions!$E$16)</f>
        <v>547.088648736234</v>
      </c>
      <c r="N11" s="21" t="n">
        <f aca="false">B11</f>
        <v>351.775105664063</v>
      </c>
      <c r="O11" s="21" t="n">
        <f aca="false">IF(A11&gt;=Assumptions!$E$25,Assumptions!$E$26,0)</f>
        <v>0</v>
      </c>
      <c r="P11" s="21" t="n">
        <f aca="false">Assumptions!$E$24</f>
        <v>520</v>
      </c>
      <c r="Q11" s="21" t="n">
        <f aca="false">M11+N11+O11+P11+W11</f>
        <v>1418.8637544003</v>
      </c>
      <c r="R11" s="21" t="n">
        <f aca="false">L11-Q11</f>
        <v>-283.505212346932</v>
      </c>
      <c r="S11" s="21" t="n">
        <f aca="false">S10+R11</f>
        <v>-4184.33689226894</v>
      </c>
      <c r="T11" s="1" t="n">
        <f aca="false">IF(R11&gt;0,A11,9999)</f>
        <v>9999</v>
      </c>
      <c r="U11" s="1" t="n">
        <f aca="false">IF(A11&gt;=Assumptions!$E$29,U10*(1-Assumptions!$E$31)+Assumptions!$E$30,0)</f>
        <v>0</v>
      </c>
      <c r="V11" s="1" t="n">
        <f aca="false">U11*Assumptions!$E$32</f>
        <v>0</v>
      </c>
      <c r="W11" s="1" t="n">
        <f aca="false">U11*Assumptions!$E$33</f>
        <v>0</v>
      </c>
    </row>
    <row r="12" customFormat="false" ht="15" hidden="false" customHeight="true" outlineLevel="0" collapsed="false">
      <c r="A12" s="5" t="n">
        <v>9</v>
      </c>
      <c r="B12" s="21" t="n">
        <f aca="false">B11*(1+Assumptions!$E$21)</f>
        <v>369.363860947266</v>
      </c>
      <c r="C12" s="22" t="n">
        <f aca="false">B12/Assumptions!$E$22</f>
        <v>105.532531699219</v>
      </c>
      <c r="D12" s="22" t="n">
        <f aca="false">Assumptions!$E$7*(1+Assumptions!$E$8)^(A12-1)</f>
        <v>2590.33143419725</v>
      </c>
      <c r="E12" s="22" t="n">
        <f aca="false">H11*Assumptions!$E$9</f>
        <v>1006.28833107257</v>
      </c>
      <c r="F12" s="22" t="n">
        <f aca="false">C12+D12+E12</f>
        <v>3702.15229696904</v>
      </c>
      <c r="G12" s="22" t="n">
        <f aca="false">F12*Assumptions!$E$10</f>
        <v>2221.29137818142</v>
      </c>
      <c r="H12" s="22" t="n">
        <f aca="false">H11*(1-Assumptions!$E$11)+G12</f>
        <v>8259.02136461683</v>
      </c>
      <c r="I12" s="22" t="n">
        <f aca="false">G12*Assumptions!$E$12</f>
        <v>62.1961585890799</v>
      </c>
      <c r="J12" s="22" t="n">
        <f aca="false">J11*(1-Assumptions!$E$13)+I12</f>
        <v>289.762576604133</v>
      </c>
      <c r="K12" s="21" t="n">
        <f aca="false">J12*(Assumptions!$E$14*(1-Assumptions!$E$16)+Assumptions!$E$15*Assumptions!$E$16)</f>
        <v>1564.71791366232</v>
      </c>
      <c r="L12" s="21" t="n">
        <f aca="false">K12*(1-Assumptions!$E$19)+V12</f>
        <v>1330.01022661297</v>
      </c>
      <c r="M12" s="21" t="n">
        <f aca="false">H12*Assumptions!$E$23+J12*(Assumptions!$E$17*(1-Assumptions!$E$16)+Assumptions!$E$18*Assumptions!$E$16)</f>
        <v>636.052493588044</v>
      </c>
      <c r="N12" s="21" t="n">
        <f aca="false">B12</f>
        <v>369.363860947266</v>
      </c>
      <c r="O12" s="21" t="n">
        <f aca="false">IF(A12&gt;=Assumptions!$E$25,Assumptions!$E$26,0)</f>
        <v>0</v>
      </c>
      <c r="P12" s="21" t="n">
        <f aca="false">Assumptions!$E$24</f>
        <v>520</v>
      </c>
      <c r="Q12" s="21" t="n">
        <f aca="false">M12+N12+O12+P12+W12</f>
        <v>1525.41635453531</v>
      </c>
      <c r="R12" s="21" t="n">
        <f aca="false">L12-Q12</f>
        <v>-195.406127922338</v>
      </c>
      <c r="S12" s="21" t="n">
        <f aca="false">S11+R12</f>
        <v>-4379.74302019128</v>
      </c>
      <c r="T12" s="1" t="n">
        <f aca="false">IF(R12&gt;0,A12,9999)</f>
        <v>9999</v>
      </c>
      <c r="U12" s="1" t="n">
        <f aca="false">IF(A12&gt;=Assumptions!$E$29,U11*(1-Assumptions!$E$31)+Assumptions!$E$30,0)</f>
        <v>0</v>
      </c>
      <c r="V12" s="1" t="n">
        <f aca="false">U12*Assumptions!$E$32</f>
        <v>0</v>
      </c>
      <c r="W12" s="1" t="n">
        <f aca="false">U12*Assumptions!$E$33</f>
        <v>0</v>
      </c>
    </row>
    <row r="13" customFormat="false" ht="15" hidden="false" customHeight="true" outlineLevel="0" collapsed="false">
      <c r="A13" s="5" t="n">
        <v>10</v>
      </c>
      <c r="B13" s="21" t="n">
        <f aca="false">B12*(1+Assumptions!$E$21)</f>
        <v>387.832053994629</v>
      </c>
      <c r="C13" s="22" t="n">
        <f aca="false">B13/Assumptions!$E$22</f>
        <v>110.80915828418</v>
      </c>
      <c r="D13" s="22" t="n">
        <f aca="false">Assumptions!$E$7*(1+Assumptions!$E$8)^(A13-1)</f>
        <v>2823.461263275</v>
      </c>
      <c r="E13" s="22" t="n">
        <f aca="false">H12*Assumptions!$E$9</f>
        <v>1156.26299104636</v>
      </c>
      <c r="F13" s="22" t="n">
        <f aca="false">C13+D13+E13</f>
        <v>4090.53341260554</v>
      </c>
      <c r="G13" s="22" t="n">
        <f aca="false">F13*Assumptions!$E$10</f>
        <v>2454.32004756332</v>
      </c>
      <c r="H13" s="22" t="n">
        <f aca="false">H12*(1-Assumptions!$E$11)+G13</f>
        <v>9391.89799384146</v>
      </c>
      <c r="I13" s="22" t="n">
        <f aca="false">G13*Assumptions!$E$12</f>
        <v>68.7209613317731</v>
      </c>
      <c r="J13" s="22" t="n">
        <f aca="false">J12*(1-Assumptions!$E$13)+I13</f>
        <v>335.302531807576</v>
      </c>
      <c r="K13" s="21" t="n">
        <f aca="false">J13*(Assumptions!$E$14*(1-Assumptions!$E$16)+Assumptions!$E$15*Assumptions!$E$16)</f>
        <v>1810.63367176091</v>
      </c>
      <c r="L13" s="21" t="n">
        <f aca="false">K13*(1-Assumptions!$E$19)+V13</f>
        <v>1539.03862099677</v>
      </c>
      <c r="M13" s="21" t="n">
        <f aca="false">H13*Assumptions!$E$23+J13*(Assumptions!$E$17*(1-Assumptions!$E$16)+Assumptions!$E$18*Assumptions!$E$16)</f>
        <v>731.062332437395</v>
      </c>
      <c r="N13" s="21" t="n">
        <f aca="false">B13</f>
        <v>387.832053994629</v>
      </c>
      <c r="O13" s="21" t="n">
        <f aca="false">IF(A13&gt;=Assumptions!$E$25,Assumptions!$E$26,0)</f>
        <v>0</v>
      </c>
      <c r="P13" s="21" t="n">
        <f aca="false">Assumptions!$E$24</f>
        <v>520</v>
      </c>
      <c r="Q13" s="21" t="n">
        <f aca="false">M13+N13+O13+P13+W13</f>
        <v>1638.89438643202</v>
      </c>
      <c r="R13" s="21" t="n">
        <f aca="false">L13-Q13</f>
        <v>-99.8557654352524</v>
      </c>
      <c r="S13" s="21" t="n">
        <f aca="false">S12+R13</f>
        <v>-4479.59878562653</v>
      </c>
      <c r="T13" s="1" t="n">
        <f aca="false">IF(R13&gt;0,A13,9999)</f>
        <v>9999</v>
      </c>
      <c r="U13" s="1" t="n">
        <f aca="false">IF(A13&gt;=Assumptions!$E$29,U12*(1-Assumptions!$E$31)+Assumptions!$E$30,0)</f>
        <v>0</v>
      </c>
      <c r="V13" s="1" t="n">
        <f aca="false">U13*Assumptions!$E$32</f>
        <v>0</v>
      </c>
      <c r="W13" s="1" t="n">
        <f aca="false">U13*Assumptions!$E$33</f>
        <v>0</v>
      </c>
    </row>
    <row r="14" customFormat="false" ht="15" hidden="false" customHeight="true" outlineLevel="0" collapsed="false">
      <c r="A14" s="5" t="n">
        <v>11</v>
      </c>
      <c r="B14" s="21" t="n">
        <f aca="false">B13*(1+Assumptions!$E$21)</f>
        <v>407.223656694361</v>
      </c>
      <c r="C14" s="22" t="n">
        <f aca="false">B14/Assumptions!$E$22</f>
        <v>116.349616198389</v>
      </c>
      <c r="D14" s="22" t="n">
        <f aca="false">Assumptions!$E$7*(1+Assumptions!$E$8)^(A14-1)</f>
        <v>3077.57277696976</v>
      </c>
      <c r="E14" s="22" t="n">
        <f aca="false">H13*Assumptions!$E$9</f>
        <v>1314.86571913781</v>
      </c>
      <c r="F14" s="22" t="n">
        <f aca="false">C14+D14+E14</f>
        <v>4508.78811230595</v>
      </c>
      <c r="G14" s="22" t="n">
        <f aca="false">F14*Assumptions!$E$10</f>
        <v>2705.27286738357</v>
      </c>
      <c r="H14" s="22" t="n">
        <f aca="false">H13*(1-Assumptions!$E$11)+G14</f>
        <v>10594.4671822104</v>
      </c>
      <c r="I14" s="22" t="n">
        <f aca="false">G14*Assumptions!$E$12</f>
        <v>75.7476402867399</v>
      </c>
      <c r="J14" s="22" t="n">
        <f aca="false">J13*(1-Assumptions!$E$13)+I14</f>
        <v>384.22596954971</v>
      </c>
      <c r="K14" s="21" t="n">
        <f aca="false">J14*(Assumptions!$E$14*(1-Assumptions!$E$16)+Assumptions!$E$15*Assumptions!$E$16)</f>
        <v>2074.82023556843</v>
      </c>
      <c r="L14" s="21" t="n">
        <f aca="false">K14*(1-Assumptions!$E$19)+V14</f>
        <v>1763.59720023317</v>
      </c>
      <c r="M14" s="21" t="n">
        <f aca="false">H14*Assumptions!$E$23+J14*(Assumptions!$E$17*(1-Assumptions!$E$16)+Assumptions!$E$18*Assumptions!$E$16)</f>
        <v>832.696814662923</v>
      </c>
      <c r="N14" s="21" t="n">
        <f aca="false">B14</f>
        <v>407.223656694361</v>
      </c>
      <c r="O14" s="21" t="n">
        <f aca="false">IF(A14&gt;=Assumptions!$E$25,Assumptions!$E$26,0)</f>
        <v>0</v>
      </c>
      <c r="P14" s="21" t="n">
        <f aca="false">Assumptions!$E$24</f>
        <v>520</v>
      </c>
      <c r="Q14" s="21" t="n">
        <f aca="false">M14+N14+O14+P14+W14</f>
        <v>1759.92047135728</v>
      </c>
      <c r="R14" s="21" t="n">
        <f aca="false">L14-Q14</f>
        <v>3.67672887588356</v>
      </c>
      <c r="S14" s="21" t="n">
        <f aca="false">S13+R14</f>
        <v>-4475.92205675065</v>
      </c>
      <c r="T14" s="1" t="n">
        <f aca="false">IF(R14&gt;0,A14,9999)</f>
        <v>11</v>
      </c>
      <c r="U14" s="1" t="n">
        <f aca="false">IF(A14&gt;=Assumptions!$E$29,U13*(1-Assumptions!$E$31)+Assumptions!$E$30,0)</f>
        <v>0</v>
      </c>
      <c r="V14" s="1" t="n">
        <f aca="false">U14*Assumptions!$E$32</f>
        <v>0</v>
      </c>
      <c r="W14" s="1" t="n">
        <f aca="false">U14*Assumptions!$E$33</f>
        <v>0</v>
      </c>
    </row>
    <row r="15" customFormat="false" ht="15" hidden="false" customHeight="true" outlineLevel="0" collapsed="false">
      <c r="A15" s="5" t="n">
        <v>12</v>
      </c>
      <c r="B15" s="21" t="n">
        <f aca="false">B14*(1+Assumptions!$E$21)</f>
        <v>427.584839529079</v>
      </c>
      <c r="C15" s="22" t="n">
        <f aca="false">B15/Assumptions!$E$22</f>
        <v>122.167097008308</v>
      </c>
      <c r="D15" s="22" t="n">
        <f aca="false">Assumptions!$E$7*(1+Assumptions!$E$8)^(A15-1)</f>
        <v>3354.55432689703</v>
      </c>
      <c r="E15" s="22" t="n">
        <f aca="false">H14*Assumptions!$E$9</f>
        <v>1483.22540550946</v>
      </c>
      <c r="F15" s="22" t="n">
        <f aca="false">C15+D15+E15</f>
        <v>4959.9468294148</v>
      </c>
      <c r="G15" s="22" t="n">
        <f aca="false">F15*Assumptions!$E$10</f>
        <v>2975.96809764888</v>
      </c>
      <c r="H15" s="22" t="n">
        <f aca="false">H14*(1-Assumptions!$E$11)+G15</f>
        <v>11875.3205307056</v>
      </c>
      <c r="I15" s="22" t="n">
        <f aca="false">G15*Assumptions!$E$12</f>
        <v>83.3271067341686</v>
      </c>
      <c r="J15" s="22" t="n">
        <f aca="false">J14*(1-Assumptions!$E$13)+I15</f>
        <v>436.814998719901</v>
      </c>
      <c r="K15" s="21" t="n">
        <f aca="false">J15*(Assumptions!$E$14*(1-Assumptions!$E$16)+Assumptions!$E$15*Assumptions!$E$16)</f>
        <v>2358.80099308747</v>
      </c>
      <c r="L15" s="21" t="n">
        <f aca="false">K15*(1-Assumptions!$E$19)+V15</f>
        <v>2004.98084412435</v>
      </c>
      <c r="M15" s="21" t="n">
        <f aca="false">H15*Assumptions!$E$23+J15*(Assumptions!$E$17*(1-Assumptions!$E$16)+Assumptions!$E$18*Assumptions!$E$16)</f>
        <v>941.591714205836</v>
      </c>
      <c r="N15" s="21" t="n">
        <f aca="false">B15</f>
        <v>427.584839529079</v>
      </c>
      <c r="O15" s="21" t="n">
        <f aca="false">IF(A15&gt;=Assumptions!$E$25,Assumptions!$E$26,0)</f>
        <v>0</v>
      </c>
      <c r="P15" s="21" t="n">
        <f aca="false">Assumptions!$E$24</f>
        <v>520</v>
      </c>
      <c r="Q15" s="21" t="n">
        <f aca="false">M15+N15+O15+P15+W15</f>
        <v>1889.17655373492</v>
      </c>
      <c r="R15" s="21" t="n">
        <f aca="false">L15-Q15</f>
        <v>115.804290389433</v>
      </c>
      <c r="S15" s="21" t="n">
        <f aca="false">S14+R15</f>
        <v>-4360.11776636122</v>
      </c>
      <c r="T15" s="1" t="n">
        <f aca="false">IF(R15&gt;0,A15,9999)</f>
        <v>12</v>
      </c>
      <c r="U15" s="1" t="n">
        <f aca="false">IF(A15&gt;=Assumptions!$E$29,U14*(1-Assumptions!$E$31)+Assumptions!$E$30,0)</f>
        <v>0</v>
      </c>
      <c r="V15" s="1" t="n">
        <f aca="false">U15*Assumptions!$E$32</f>
        <v>0</v>
      </c>
      <c r="W15" s="1" t="n">
        <f aca="false">U15*Assumptions!$E$33</f>
        <v>0</v>
      </c>
    </row>
    <row r="16" customFormat="false" ht="15" hidden="false" customHeight="true" outlineLevel="0" collapsed="false">
      <c r="A16" s="5" t="n">
        <v>13</v>
      </c>
      <c r="B16" s="21" t="n">
        <f aca="false">B15*(1+Assumptions!$E$21)</f>
        <v>448.964081505533</v>
      </c>
      <c r="C16" s="22" t="n">
        <f aca="false">B16/Assumptions!$E$22</f>
        <v>128.275451858724</v>
      </c>
      <c r="D16" s="22" t="n">
        <f aca="false">Assumptions!$E$7*(1+Assumptions!$E$8)^(A16-1)</f>
        <v>3656.46421631777</v>
      </c>
      <c r="E16" s="22" t="n">
        <f aca="false">H15*Assumptions!$E$9</f>
        <v>1662.54487429879</v>
      </c>
      <c r="F16" s="22" t="n">
        <f aca="false">C16+D16+E16</f>
        <v>5447.28454247528</v>
      </c>
      <c r="G16" s="22" t="n">
        <f aca="false">F16*Assumptions!$E$10</f>
        <v>3268.37072548516</v>
      </c>
      <c r="H16" s="22" t="n">
        <f aca="false">H15*(1-Assumptions!$E$11)+G16</f>
        <v>13243.6399712779</v>
      </c>
      <c r="I16" s="22" t="n">
        <f aca="false">G16*Assumptions!$E$12</f>
        <v>91.5143803135846</v>
      </c>
      <c r="J16" s="22" t="n">
        <f aca="false">J15*(1-Assumptions!$E$13)+I16</f>
        <v>493.384179135894</v>
      </c>
      <c r="K16" s="21" t="n">
        <f aca="false">J16*(Assumptions!$E$14*(1-Assumptions!$E$16)+Assumptions!$E$15*Assumptions!$E$16)</f>
        <v>2664.27456733383</v>
      </c>
      <c r="L16" s="21" t="n">
        <f aca="false">K16*(1-Assumptions!$E$19)+V16</f>
        <v>2264.63338223375</v>
      </c>
      <c r="M16" s="21" t="n">
        <f aca="false">H16*Assumptions!$E$23+J16*(Assumptions!$E$17*(1-Assumptions!$E$16)+Assumptions!$E$18*Assumptions!$E$16)</f>
        <v>1058.44399918043</v>
      </c>
      <c r="N16" s="21" t="n">
        <f aca="false">B16</f>
        <v>448.964081505533</v>
      </c>
      <c r="O16" s="21" t="n">
        <f aca="false">IF(A16&gt;=Assumptions!$E$25,Assumptions!$E$26,0)</f>
        <v>0</v>
      </c>
      <c r="P16" s="21" t="n">
        <f aca="false">Assumptions!$E$24</f>
        <v>520</v>
      </c>
      <c r="Q16" s="21" t="n">
        <f aca="false">M16+N16+O16+P16+W16</f>
        <v>2027.40808068597</v>
      </c>
      <c r="R16" s="21" t="n">
        <f aca="false">L16-Q16</f>
        <v>237.225301547787</v>
      </c>
      <c r="S16" s="21" t="n">
        <f aca="false">S15+R16</f>
        <v>-4122.89246481343</v>
      </c>
      <c r="T16" s="1" t="n">
        <f aca="false">IF(R16&gt;0,A16,9999)</f>
        <v>13</v>
      </c>
      <c r="U16" s="1" t="n">
        <f aca="false">IF(A16&gt;=Assumptions!$E$29,U15*(1-Assumptions!$E$31)+Assumptions!$E$30,0)</f>
        <v>0</v>
      </c>
      <c r="V16" s="1" t="n">
        <f aca="false">U16*Assumptions!$E$32</f>
        <v>0</v>
      </c>
      <c r="W16" s="1" t="n">
        <f aca="false">U16*Assumptions!$E$33</f>
        <v>0</v>
      </c>
    </row>
    <row r="17" customFormat="false" ht="15" hidden="false" customHeight="true" outlineLevel="0" collapsed="false">
      <c r="A17" s="5" t="n">
        <v>14</v>
      </c>
      <c r="B17" s="21" t="n">
        <f aca="false">B16*(1+Assumptions!$E$21)</f>
        <v>471.412285580809</v>
      </c>
      <c r="C17" s="22" t="n">
        <f aca="false">B17/Assumptions!$E$22</f>
        <v>134.68922445166</v>
      </c>
      <c r="D17" s="22" t="n">
        <f aca="false">Assumptions!$E$7*(1+Assumptions!$E$8)^(A17-1)</f>
        <v>3985.54599578637</v>
      </c>
      <c r="E17" s="22" t="n">
        <f aca="false">H16*Assumptions!$E$9</f>
        <v>1854.1095959789</v>
      </c>
      <c r="F17" s="22" t="n">
        <f aca="false">C17+D17+E17</f>
        <v>5974.34481621693</v>
      </c>
      <c r="G17" s="22" t="n">
        <f aca="false">F17*Assumptions!$E$10</f>
        <v>3584.60688973016</v>
      </c>
      <c r="H17" s="22" t="n">
        <f aca="false">H16*(1-Assumptions!$E$11)+G17</f>
        <v>14709.2644656036</v>
      </c>
      <c r="I17" s="22" t="n">
        <f aca="false">G17*Assumptions!$E$12</f>
        <v>100.368992912444</v>
      </c>
      <c r="J17" s="22" t="n">
        <f aca="false">J16*(1-Assumptions!$E$13)+I17</f>
        <v>554.282437717467</v>
      </c>
      <c r="K17" s="21" t="n">
        <f aca="false">J17*(Assumptions!$E$14*(1-Assumptions!$E$16)+Assumptions!$E$15*Assumptions!$E$16)</f>
        <v>2993.12516367432</v>
      </c>
      <c r="L17" s="21" t="n">
        <f aca="false">K17*(1-Assumptions!$E$19)+V17</f>
        <v>2544.15638912317</v>
      </c>
      <c r="M17" s="21" t="n">
        <f aca="false">H17*Assumptions!$E$23+J17*(Assumptions!$E$17*(1-Assumptions!$E$16)+Assumptions!$E$18*Assumptions!$E$16)</f>
        <v>1184.01640050951</v>
      </c>
      <c r="N17" s="21" t="n">
        <f aca="false">B17</f>
        <v>471.412285580809</v>
      </c>
      <c r="O17" s="21" t="n">
        <f aca="false">IF(A17&gt;=Assumptions!$E$25,Assumptions!$E$26,0)</f>
        <v>0</v>
      </c>
      <c r="P17" s="21" t="n">
        <f aca="false">Assumptions!$E$24</f>
        <v>520</v>
      </c>
      <c r="Q17" s="21" t="n">
        <f aca="false">M17+N17+O17+P17+W17</f>
        <v>2175.42868609032</v>
      </c>
      <c r="R17" s="21" t="n">
        <f aca="false">L17-Q17</f>
        <v>368.727703032851</v>
      </c>
      <c r="S17" s="21" t="n">
        <f aca="false">S16+R17</f>
        <v>-3754.16476178058</v>
      </c>
      <c r="T17" s="1" t="n">
        <f aca="false">IF(R17&gt;0,A17,9999)</f>
        <v>14</v>
      </c>
      <c r="U17" s="1" t="n">
        <f aca="false">IF(A17&gt;=Assumptions!$E$29,U16*(1-Assumptions!$E$31)+Assumptions!$E$30,0)</f>
        <v>0</v>
      </c>
      <c r="V17" s="1" t="n">
        <f aca="false">U17*Assumptions!$E$32</f>
        <v>0</v>
      </c>
      <c r="W17" s="1" t="n">
        <f aca="false">U17*Assumptions!$E$33</f>
        <v>0</v>
      </c>
    </row>
    <row r="18" customFormat="false" ht="15" hidden="false" customHeight="true" outlineLevel="0" collapsed="false">
      <c r="A18" s="5" t="n">
        <v>15</v>
      </c>
      <c r="B18" s="21" t="n">
        <f aca="false">B17*(1+Assumptions!$E$21)</f>
        <v>494.98289985985</v>
      </c>
      <c r="C18" s="22" t="n">
        <f aca="false">B18/Assumptions!$E$22</f>
        <v>141.423685674243</v>
      </c>
      <c r="D18" s="22" t="n">
        <f aca="false">Assumptions!$E$7*(1+Assumptions!$E$8)^(A18-1)</f>
        <v>4344.24513540714</v>
      </c>
      <c r="E18" s="22" t="n">
        <f aca="false">H17*Assumptions!$E$9</f>
        <v>2059.2970251845</v>
      </c>
      <c r="F18" s="22" t="n">
        <f aca="false">C18+D18+E18</f>
        <v>6544.96584626588</v>
      </c>
      <c r="G18" s="22" t="n">
        <f aca="false">F18*Assumptions!$E$10</f>
        <v>3926.97950775953</v>
      </c>
      <c r="H18" s="22" t="n">
        <f aca="false">H17*(1-Assumptions!$E$11)+G18</f>
        <v>16282.7616588665</v>
      </c>
      <c r="I18" s="22" t="n">
        <f aca="false">G18*Assumptions!$E$12</f>
        <v>109.955426217267</v>
      </c>
      <c r="J18" s="22" t="n">
        <f aca="false">J17*(1-Assumptions!$E$13)+I18</f>
        <v>619.895268917336</v>
      </c>
      <c r="K18" s="21" t="n">
        <f aca="false">J18*(Assumptions!$E$14*(1-Assumptions!$E$16)+Assumptions!$E$15*Assumptions!$E$16)</f>
        <v>3347.43445215362</v>
      </c>
      <c r="L18" s="21" t="n">
        <f aca="false">K18*(1-Assumptions!$E$19)+V18</f>
        <v>2845.31928433057</v>
      </c>
      <c r="M18" s="21" t="n">
        <f aca="false">H18*Assumptions!$E$23+J18*(Assumptions!$E$17*(1-Assumptions!$E$16)+Assumptions!$E$18*Assumptions!$E$16)</f>
        <v>1319.14251011523</v>
      </c>
      <c r="N18" s="21" t="n">
        <f aca="false">B18</f>
        <v>494.98289985985</v>
      </c>
      <c r="O18" s="21" t="n">
        <f aca="false">IF(A18&gt;=Assumptions!$E$25,Assumptions!$E$26,0)</f>
        <v>0</v>
      </c>
      <c r="P18" s="21" t="n">
        <f aca="false">Assumptions!$E$24</f>
        <v>520</v>
      </c>
      <c r="Q18" s="21" t="n">
        <f aca="false">M18+N18+O18+P18+W18</f>
        <v>2334.12540997508</v>
      </c>
      <c r="R18" s="21" t="n">
        <f aca="false">L18-Q18</f>
        <v>511.193874355497</v>
      </c>
      <c r="S18" s="21" t="n">
        <f aca="false">S17+R18</f>
        <v>-3242.97088742508</v>
      </c>
      <c r="T18" s="1" t="n">
        <f aca="false">IF(R18&gt;0,A18,9999)</f>
        <v>15</v>
      </c>
      <c r="U18" s="1" t="n">
        <f aca="false">IF(A18&gt;=Assumptions!$E$29,U17*(1-Assumptions!$E$31)+Assumptions!$E$30,0)</f>
        <v>0</v>
      </c>
      <c r="V18" s="1" t="n">
        <f aca="false">U18*Assumptions!$E$32</f>
        <v>0</v>
      </c>
      <c r="W18" s="1" t="n">
        <f aca="false">U18*Assumptions!$E$33</f>
        <v>0</v>
      </c>
    </row>
    <row r="19" customFormat="false" ht="15" hidden="false" customHeight="true" outlineLevel="0" collapsed="false">
      <c r="A19" s="5" t="n">
        <v>16</v>
      </c>
      <c r="B19" s="21" t="n">
        <f aca="false">B18*(1+Assumptions!$E$21)</f>
        <v>519.732044852842</v>
      </c>
      <c r="C19" s="22" t="n">
        <f aca="false">B19/Assumptions!$E$22</f>
        <v>148.494869957955</v>
      </c>
      <c r="D19" s="22" t="n">
        <f aca="false">Assumptions!$E$7*(1+Assumptions!$E$8)^(A19-1)</f>
        <v>4735.22719759378</v>
      </c>
      <c r="E19" s="22" t="n">
        <f aca="false">H18*Assumptions!$E$9</f>
        <v>2279.58663224131</v>
      </c>
      <c r="F19" s="22" t="n">
        <f aca="false">C19+D19+E19</f>
        <v>7163.30869979305</v>
      </c>
      <c r="G19" s="22" t="n">
        <f aca="false">F19*Assumptions!$E$10</f>
        <v>4297.98521987583</v>
      </c>
      <c r="H19" s="22" t="n">
        <f aca="false">H18*(1-Assumptions!$E$11)+G19</f>
        <v>17975.5050133237</v>
      </c>
      <c r="I19" s="22" t="n">
        <f aca="false">G19*Assumptions!$E$12</f>
        <v>120.343586156523</v>
      </c>
      <c r="J19" s="22" t="n">
        <f aca="false">J18*(1-Assumptions!$E$13)+I19</f>
        <v>690.647233560473</v>
      </c>
      <c r="K19" s="21" t="n">
        <f aca="false">J19*(Assumptions!$E$14*(1-Assumptions!$E$16)+Assumptions!$E$15*Assumptions!$E$16)</f>
        <v>3729.49506122655</v>
      </c>
      <c r="L19" s="21" t="n">
        <f aca="false">K19*(1-Assumptions!$E$19)+V19</f>
        <v>3170.07080204257</v>
      </c>
      <c r="M19" s="21" t="n">
        <f aca="false">H19*Assumptions!$E$23+J19*(Assumptions!$E$17*(1-Assumptions!$E$16)+Assumptions!$E$18*Assumptions!$E$16)</f>
        <v>1464.73244337075</v>
      </c>
      <c r="N19" s="21" t="n">
        <f aca="false">B19</f>
        <v>519.732044852842</v>
      </c>
      <c r="O19" s="21" t="n">
        <f aca="false">IF(A19&gt;=Assumptions!$E$25,Assumptions!$E$26,0)</f>
        <v>0</v>
      </c>
      <c r="P19" s="21" t="n">
        <f aca="false">Assumptions!$E$24</f>
        <v>520</v>
      </c>
      <c r="Q19" s="21" t="n">
        <f aca="false">M19+N19+O19+P19+W19</f>
        <v>2504.46448822359</v>
      </c>
      <c r="R19" s="21" t="n">
        <f aca="false">L19-Q19</f>
        <v>665.606313818983</v>
      </c>
      <c r="S19" s="21" t="n">
        <f aca="false">S18+R19</f>
        <v>-2577.3645736061</v>
      </c>
      <c r="T19" s="1" t="n">
        <f aca="false">IF(R19&gt;0,A19,9999)</f>
        <v>16</v>
      </c>
      <c r="U19" s="1" t="n">
        <f aca="false">IF(A19&gt;=Assumptions!$E$29,U18*(1-Assumptions!$E$31)+Assumptions!$E$30,0)</f>
        <v>0</v>
      </c>
      <c r="V19" s="1" t="n">
        <f aca="false">U19*Assumptions!$E$32</f>
        <v>0</v>
      </c>
      <c r="W19" s="1" t="n">
        <f aca="false">U19*Assumptions!$E$33</f>
        <v>0</v>
      </c>
    </row>
    <row r="20" customFormat="false" ht="15" hidden="false" customHeight="true" outlineLevel="0" collapsed="false">
      <c r="A20" s="5" t="n">
        <v>17</v>
      </c>
      <c r="B20" s="21" t="n">
        <f aca="false">B19*(1+Assumptions!$E$21)</f>
        <v>545.718647095484</v>
      </c>
      <c r="C20" s="22" t="n">
        <f aca="false">B20/Assumptions!$E$22</f>
        <v>155.919613455853</v>
      </c>
      <c r="D20" s="22" t="n">
        <f aca="false">Assumptions!$E$7*(1+Assumptions!$E$8)^(A20-1)</f>
        <v>5161.39764537722</v>
      </c>
      <c r="E20" s="22" t="n">
        <f aca="false">H19*Assumptions!$E$9</f>
        <v>2516.57070186532</v>
      </c>
      <c r="F20" s="22" t="n">
        <f aca="false">C20+D20+E20</f>
        <v>7833.8879606984</v>
      </c>
      <c r="G20" s="22" t="n">
        <f aca="false">F20*Assumptions!$E$10</f>
        <v>4700.33277641904</v>
      </c>
      <c r="H20" s="22" t="n">
        <f aca="false">H19*(1-Assumptions!$E$11)+G20</f>
        <v>19799.756987611</v>
      </c>
      <c r="I20" s="22" t="n">
        <f aca="false">G20*Assumptions!$E$12</f>
        <v>131.609317739733</v>
      </c>
      <c r="J20" s="22" t="n">
        <f aca="false">J19*(1-Assumptions!$E$13)+I20</f>
        <v>767.004772615368</v>
      </c>
      <c r="K20" s="21" t="n">
        <f aca="false">J20*(Assumptions!$E$14*(1-Assumptions!$E$16)+Assumptions!$E$15*Assumptions!$E$16)</f>
        <v>4141.82577212299</v>
      </c>
      <c r="L20" s="21" t="n">
        <f aca="false">K20*(1-Assumptions!$E$19)+V20</f>
        <v>3520.55190630454</v>
      </c>
      <c r="M20" s="21" t="n">
        <f aca="false">H20*Assumptions!$E$23+J20*(Assumptions!$E$17*(1-Assumptions!$E$16)+Assumptions!$E$18*Assumptions!$E$16)</f>
        <v>1621.77910493292</v>
      </c>
      <c r="N20" s="21" t="n">
        <f aca="false">B20</f>
        <v>545.718647095484</v>
      </c>
      <c r="O20" s="21" t="n">
        <f aca="false">IF(A20&gt;=Assumptions!$E$25,Assumptions!$E$26,0)</f>
        <v>0</v>
      </c>
      <c r="P20" s="21" t="n">
        <f aca="false">Assumptions!$E$24</f>
        <v>520</v>
      </c>
      <c r="Q20" s="21" t="n">
        <f aca="false">M20+N20+O20+P20+W20</f>
        <v>2687.49775202841</v>
      </c>
      <c r="R20" s="21" t="n">
        <f aca="false">L20-Q20</f>
        <v>833.054154276132</v>
      </c>
      <c r="S20" s="21" t="n">
        <f aca="false">S19+R20</f>
        <v>-1744.31041932997</v>
      </c>
      <c r="T20" s="1" t="n">
        <f aca="false">IF(R20&gt;0,A20,9999)</f>
        <v>17</v>
      </c>
      <c r="U20" s="1" t="n">
        <f aca="false">IF(A20&gt;=Assumptions!$E$29,U19*(1-Assumptions!$E$31)+Assumptions!$E$30,0)</f>
        <v>0</v>
      </c>
      <c r="V20" s="1" t="n">
        <f aca="false">U20*Assumptions!$E$32</f>
        <v>0</v>
      </c>
      <c r="W20" s="1" t="n">
        <f aca="false">U20*Assumptions!$E$33</f>
        <v>0</v>
      </c>
    </row>
    <row r="21" customFormat="false" ht="15" hidden="false" customHeight="true" outlineLevel="0" collapsed="false">
      <c r="A21" s="5" t="n">
        <v>18</v>
      </c>
      <c r="B21" s="21" t="n">
        <f aca="false">B20*(1+Assumptions!$E$21)</f>
        <v>573.004579450259</v>
      </c>
      <c r="C21" s="22" t="n">
        <f aca="false">B21/Assumptions!$E$22</f>
        <v>163.715594128645</v>
      </c>
      <c r="D21" s="22" t="n">
        <f aca="false">Assumptions!$E$7*(1+Assumptions!$E$8)^(A21-1)</f>
        <v>5625.92343346117</v>
      </c>
      <c r="E21" s="22" t="n">
        <f aca="false">H20*Assumptions!$E$9</f>
        <v>2771.96597826553</v>
      </c>
      <c r="F21" s="22" t="n">
        <f aca="false">C21+D21+E21</f>
        <v>8561.60500585535</v>
      </c>
      <c r="G21" s="22" t="n">
        <f aca="false">F21*Assumptions!$E$10</f>
        <v>5136.96300351321</v>
      </c>
      <c r="H21" s="22" t="n">
        <f aca="false">H20*(1-Assumptions!$E$11)+G21</f>
        <v>21768.7588731064</v>
      </c>
      <c r="I21" s="22" t="n">
        <f aca="false">G21*Assumptions!$E$12</f>
        <v>143.83496409837</v>
      </c>
      <c r="J21" s="22" t="n">
        <f aca="false">J20*(1-Assumptions!$E$13)+I21</f>
        <v>849.479354904509</v>
      </c>
      <c r="K21" s="21" t="n">
        <f aca="false">J21*(Assumptions!$E$14*(1-Assumptions!$E$16)+Assumptions!$E$15*Assumptions!$E$16)</f>
        <v>4587.18851648435</v>
      </c>
      <c r="L21" s="21" t="n">
        <f aca="false">K21*(1-Assumptions!$E$19)+V21</f>
        <v>3899.11023901169</v>
      </c>
      <c r="M21" s="21" t="n">
        <f aca="false">H21*Assumptions!$E$23+J21*(Assumptions!$E$17*(1-Assumptions!$E$16)+Assumptions!$E$18*Assumptions!$E$16)</f>
        <v>1791.36510176523</v>
      </c>
      <c r="N21" s="21" t="n">
        <f aca="false">B21</f>
        <v>573.004579450259</v>
      </c>
      <c r="O21" s="21" t="n">
        <f aca="false">IF(A21&gt;=Assumptions!$E$25,Assumptions!$E$26,0)</f>
        <v>0</v>
      </c>
      <c r="P21" s="21" t="n">
        <f aca="false">Assumptions!$E$24</f>
        <v>520</v>
      </c>
      <c r="Q21" s="21" t="n">
        <f aca="false">M21+N21+O21+P21+W21</f>
        <v>2884.36968121549</v>
      </c>
      <c r="R21" s="21" t="n">
        <f aca="false">L21-Q21</f>
        <v>1014.7405577962</v>
      </c>
      <c r="S21" s="21" t="n">
        <f aca="false">S20+R21</f>
        <v>-729.569861533766</v>
      </c>
      <c r="T21" s="1" t="n">
        <f aca="false">IF(R21&gt;0,A21,9999)</f>
        <v>18</v>
      </c>
      <c r="U21" s="1" t="n">
        <f aca="false">IF(A21&gt;=Assumptions!$E$29,U20*(1-Assumptions!$E$31)+Assumptions!$E$30,0)</f>
        <v>0</v>
      </c>
      <c r="V21" s="1" t="n">
        <f aca="false">U21*Assumptions!$E$32</f>
        <v>0</v>
      </c>
      <c r="W21" s="1" t="n">
        <f aca="false">U21*Assumptions!$E$33</f>
        <v>0</v>
      </c>
    </row>
    <row r="22" customFormat="false" ht="15" hidden="false" customHeight="true" outlineLevel="0" collapsed="false">
      <c r="A22" s="5" t="n">
        <v>19</v>
      </c>
      <c r="B22" s="21" t="n">
        <f aca="false">B21*(1+Assumptions!$E$21)</f>
        <v>601.654808422772</v>
      </c>
      <c r="C22" s="22" t="n">
        <f aca="false">B22/Assumptions!$E$22</f>
        <v>171.901373835078</v>
      </c>
      <c r="D22" s="22" t="n">
        <f aca="false">Assumptions!$E$7*(1+Assumptions!$E$8)^(A22-1)</f>
        <v>6132.25654247268</v>
      </c>
      <c r="E22" s="22" t="n">
        <f aca="false">H21*Assumptions!$E$9</f>
        <v>3047.6262422349</v>
      </c>
      <c r="F22" s="22" t="n">
        <f aca="false">C22+D22+E22</f>
        <v>9351.78415854266</v>
      </c>
      <c r="G22" s="22" t="n">
        <f aca="false">F22*Assumptions!$E$10</f>
        <v>5611.07049512559</v>
      </c>
      <c r="H22" s="22" t="n">
        <f aca="false">H21*(1-Assumptions!$E$11)+G22</f>
        <v>23896.827948535</v>
      </c>
      <c r="I22" s="22" t="n">
        <f aca="false">G22*Assumptions!$E$12</f>
        <v>157.109973863517</v>
      </c>
      <c r="J22" s="22" t="n">
        <f aca="false">J21*(1-Assumptions!$E$13)+I22</f>
        <v>938.630980375664</v>
      </c>
      <c r="K22" s="21" t="n">
        <f aca="false">J22*(Assumptions!$E$14*(1-Assumptions!$E$16)+Assumptions!$E$15*Assumptions!$E$16)</f>
        <v>5068.60729402859</v>
      </c>
      <c r="L22" s="21" t="n">
        <f aca="false">K22*(1-Assumptions!$E$19)+V22</f>
        <v>4308.3161999243</v>
      </c>
      <c r="M22" s="21" t="n">
        <f aca="false">H22*Assumptions!$E$23+J22*(Assumptions!$E$17*(1-Assumptions!$E$16)+Assumptions!$E$18*Assumptions!$E$16)</f>
        <v>1974.67035215944</v>
      </c>
      <c r="N22" s="21" t="n">
        <f aca="false">B22</f>
        <v>601.654808422772</v>
      </c>
      <c r="O22" s="21" t="n">
        <f aca="false">IF(A22&gt;=Assumptions!$E$25,Assumptions!$E$26,0)</f>
        <v>0</v>
      </c>
      <c r="P22" s="21" t="n">
        <f aca="false">Assumptions!$E$24</f>
        <v>520</v>
      </c>
      <c r="Q22" s="21" t="n">
        <f aca="false">M22+N22+O22+P22+W22</f>
        <v>3096.32516058221</v>
      </c>
      <c r="R22" s="21" t="n">
        <f aca="false">L22-Q22</f>
        <v>1211.99103934209</v>
      </c>
      <c r="S22" s="21" t="n">
        <f aca="false">S21+R22</f>
        <v>482.421177808323</v>
      </c>
      <c r="T22" s="1" t="n">
        <f aca="false">IF(R22&gt;0,A22,9999)</f>
        <v>19</v>
      </c>
      <c r="U22" s="1" t="n">
        <f aca="false">IF(A22&gt;=Assumptions!$E$29,U21*(1-Assumptions!$E$31)+Assumptions!$E$30,0)</f>
        <v>0</v>
      </c>
      <c r="V22" s="1" t="n">
        <f aca="false">U22*Assumptions!$E$32</f>
        <v>0</v>
      </c>
      <c r="W22" s="1" t="n">
        <f aca="false">U22*Assumptions!$E$33</f>
        <v>0</v>
      </c>
    </row>
    <row r="23" customFormat="false" ht="15" hidden="false" customHeight="true" outlineLevel="0" collapsed="false">
      <c r="A23" s="5" t="n">
        <v>20</v>
      </c>
      <c r="B23" s="21" t="n">
        <f aca="false">B22*(1+Assumptions!$E$21)</f>
        <v>631.73754884391</v>
      </c>
      <c r="C23" s="22" t="n">
        <f aca="false">B23/Assumptions!$E$22</f>
        <v>180.496442526831</v>
      </c>
      <c r="D23" s="22" t="n">
        <f aca="false">Assumptions!$E$7*(1+Assumptions!$E$8)^(A23-1)</f>
        <v>6684.15963129522</v>
      </c>
      <c r="E23" s="22" t="n">
        <f aca="false">H22*Assumptions!$E$9</f>
        <v>3345.5559127949</v>
      </c>
      <c r="F23" s="22" t="n">
        <f aca="false">C23+D23+E23</f>
        <v>10210.2119866169</v>
      </c>
      <c r="G23" s="22" t="n">
        <f aca="false">F23*Assumptions!$E$10</f>
        <v>6126.12719197017</v>
      </c>
      <c r="H23" s="22" t="n">
        <f aca="false">H22*(1-Assumptions!$E$11)+G23</f>
        <v>26199.4626687396</v>
      </c>
      <c r="I23" s="22" t="n">
        <f aca="false">G23*Assumptions!$E$12</f>
        <v>171.531561375165</v>
      </c>
      <c r="J23" s="22" t="n">
        <f aca="false">J22*(1-Assumptions!$E$13)+I23</f>
        <v>1035.07206332078</v>
      </c>
      <c r="K23" s="21" t="n">
        <f aca="false">J23*(Assumptions!$E$14*(1-Assumptions!$E$16)+Assumptions!$E$15*Assumptions!$E$16)</f>
        <v>5589.38914193219</v>
      </c>
      <c r="L23" s="21" t="n">
        <f aca="false">K23*(1-Assumptions!$E$19)+V23</f>
        <v>4990.98077064236</v>
      </c>
      <c r="M23" s="21" t="n">
        <f aca="false">H23*Assumptions!$E$23+J23*(Assumptions!$E$17*(1-Assumptions!$E$16)+Assumptions!$E$18*Assumptions!$E$16)</f>
        <v>2172.98044491203</v>
      </c>
      <c r="N23" s="21" t="n">
        <f aca="false">B23</f>
        <v>631.73754884391</v>
      </c>
      <c r="O23" s="21" t="n">
        <f aca="false">IF(A23&gt;=Assumptions!$E$25,Assumptions!$E$26,0)</f>
        <v>0</v>
      </c>
      <c r="P23" s="21" t="n">
        <f aca="false">Assumptions!$E$24</f>
        <v>520</v>
      </c>
      <c r="Q23" s="21" t="n">
        <f aca="false">M23+N23+O23+P23+W23</f>
        <v>3352.71799375594</v>
      </c>
      <c r="R23" s="21" t="n">
        <f aca="false">L23-Q23</f>
        <v>1638.26277688643</v>
      </c>
      <c r="S23" s="21" t="n">
        <f aca="false">S22+R23</f>
        <v>2120.68395469475</v>
      </c>
      <c r="T23" s="1" t="n">
        <f aca="false">IF(R23&gt;0,A23,9999)</f>
        <v>20</v>
      </c>
      <c r="U23" s="1" t="n">
        <f aca="false">IF(A23&gt;=Assumptions!$E$29,U22*(1-Assumptions!$E$31)+Assumptions!$E$30,0)</f>
        <v>2</v>
      </c>
      <c r="V23" s="1" t="n">
        <f aca="false">U23*Assumptions!$E$32</f>
        <v>240</v>
      </c>
      <c r="W23" s="1" t="n">
        <f aca="false">U23*Assumptions!$E$33</f>
        <v>28</v>
      </c>
    </row>
    <row r="24" customFormat="false" ht="15" hidden="false" customHeight="true" outlineLevel="0" collapsed="false">
      <c r="A24" s="5" t="n">
        <v>21</v>
      </c>
      <c r="B24" s="21" t="n">
        <f aca="false">B23*(1+Assumptions!$E$21)</f>
        <v>663.324426286106</v>
      </c>
      <c r="C24" s="22" t="n">
        <f aca="false">B24/Assumptions!$E$22</f>
        <v>189.521264653173</v>
      </c>
      <c r="D24" s="22" t="n">
        <f aca="false">Assumptions!$E$7*(1+Assumptions!$E$8)^(A24-1)</f>
        <v>7285.73399811179</v>
      </c>
      <c r="E24" s="22" t="n">
        <f aca="false">H23*Assumptions!$E$9</f>
        <v>3667.92477362354</v>
      </c>
      <c r="F24" s="22" t="n">
        <f aca="false">C24+D24+E24</f>
        <v>11143.1800363885</v>
      </c>
      <c r="G24" s="22" t="n">
        <f aca="false">F24*Assumptions!$E$10</f>
        <v>6685.9080218331</v>
      </c>
      <c r="H24" s="22" t="n">
        <f aca="false">H23*(1-Assumptions!$E$11)+G24</f>
        <v>28693.4566635743</v>
      </c>
      <c r="I24" s="22" t="n">
        <f aca="false">G24*Assumptions!$E$12</f>
        <v>187.205424611327</v>
      </c>
      <c r="J24" s="22" t="n">
        <f aca="false">J23*(1-Assumptions!$E$13)+I24</f>
        <v>1139.47172286644</v>
      </c>
      <c r="K24" s="21" t="n">
        <f aca="false">J24*(Assumptions!$E$14*(1-Assumptions!$E$16)+Assumptions!$E$15*Assumptions!$E$16)</f>
        <v>6153.14730347878</v>
      </c>
      <c r="L24" s="21" t="n">
        <f aca="false">K24*(1-Assumptions!$E$19)+V24</f>
        <v>5702.97520795696</v>
      </c>
      <c r="M24" s="21" t="n">
        <f aca="false">H24*Assumptions!$E$23+J24*(Assumptions!$E$17*(1-Assumptions!$E$16)+Assumptions!$E$18*Assumptions!$E$16)</f>
        <v>2387.69580854826</v>
      </c>
      <c r="N24" s="21" t="n">
        <f aca="false">B24</f>
        <v>663.324426286106</v>
      </c>
      <c r="O24" s="21" t="n">
        <f aca="false">IF(A24&gt;=Assumptions!$E$25,Assumptions!$E$26,0)</f>
        <v>0</v>
      </c>
      <c r="P24" s="21" t="n">
        <f aca="false">Assumptions!$E$24</f>
        <v>520</v>
      </c>
      <c r="Q24" s="21" t="n">
        <f aca="false">M24+N24+O24+P24+W24</f>
        <v>3626.18023483437</v>
      </c>
      <c r="R24" s="21" t="n">
        <f aca="false">L24-Q24</f>
        <v>2076.7949731226</v>
      </c>
      <c r="S24" s="21" t="n">
        <f aca="false">S23+R24</f>
        <v>4197.47892781735</v>
      </c>
      <c r="T24" s="1" t="n">
        <f aca="false">IF(R24&gt;0,A24,9999)</f>
        <v>21</v>
      </c>
      <c r="U24" s="1" t="n">
        <f aca="false">IF(A24&gt;=Assumptions!$E$29,U23*(1-Assumptions!$E$31)+Assumptions!$E$30,0)</f>
        <v>3.94</v>
      </c>
      <c r="V24" s="1" t="n">
        <f aca="false">U24*Assumptions!$E$32</f>
        <v>472.8</v>
      </c>
      <c r="W24" s="1" t="n">
        <f aca="false">U24*Assumptions!$E$33</f>
        <v>55.16</v>
      </c>
    </row>
    <row r="25" customFormat="false" ht="15" hidden="false" customHeight="true" outlineLevel="0" collapsed="false">
      <c r="A25" s="5" t="n">
        <v>22</v>
      </c>
      <c r="B25" s="21" t="n">
        <f aca="false">B24*(1+Assumptions!$E$21)</f>
        <v>696.490647600411</v>
      </c>
      <c r="C25" s="22" t="n">
        <f aca="false">B25/Assumptions!$E$22</f>
        <v>198.997327885832</v>
      </c>
      <c r="D25" s="22" t="n">
        <f aca="false">Assumptions!$E$7*(1+Assumptions!$E$8)^(A25-1)</f>
        <v>7941.45005794185</v>
      </c>
      <c r="E25" s="22" t="n">
        <f aca="false">H24*Assumptions!$E$9</f>
        <v>4017.08393290041</v>
      </c>
      <c r="F25" s="22" t="n">
        <f aca="false">C25+D25+E25</f>
        <v>12157.5313187281</v>
      </c>
      <c r="G25" s="22" t="n">
        <f aca="false">F25*Assumptions!$E$10</f>
        <v>7294.51879123685</v>
      </c>
      <c r="H25" s="22" t="n">
        <f aca="false">H24*(1-Assumptions!$E$11)+G25</f>
        <v>31397.0223886393</v>
      </c>
      <c r="I25" s="22" t="n">
        <f aca="false">G25*Assumptions!$E$12</f>
        <v>204.246526154632</v>
      </c>
      <c r="J25" s="22" t="n">
        <f aca="false">J24*(1-Assumptions!$E$13)+I25</f>
        <v>1252.56051119176</v>
      </c>
      <c r="K25" s="21" t="n">
        <f aca="false">J25*(Assumptions!$E$14*(1-Assumptions!$E$16)+Assumptions!$E$15*Assumptions!$E$16)</f>
        <v>6763.82676043549</v>
      </c>
      <c r="L25" s="21" t="n">
        <f aca="false">K25*(1-Assumptions!$E$19)+V25</f>
        <v>6447.86874637017</v>
      </c>
      <c r="M25" s="21" t="n">
        <f aca="false">H25*Assumptions!$E$23+J25*(Assumptions!$E$17*(1-Assumptions!$E$16)+Assumptions!$E$18*Assumptions!$E$16)</f>
        <v>2620.34175665613</v>
      </c>
      <c r="N25" s="21" t="n">
        <f aca="false">B25</f>
        <v>696.490647600411</v>
      </c>
      <c r="O25" s="21" t="n">
        <f aca="false">IF(A25&gt;=Assumptions!$E$25,Assumptions!$E$26,0)</f>
        <v>0</v>
      </c>
      <c r="P25" s="21" t="n">
        <f aca="false">Assumptions!$E$24</f>
        <v>520</v>
      </c>
      <c r="Q25" s="21" t="n">
        <f aca="false">M25+N25+O25+P25+W25</f>
        <v>3918.33760425654</v>
      </c>
      <c r="R25" s="21" t="n">
        <f aca="false">L25-Q25</f>
        <v>2529.53114211362</v>
      </c>
      <c r="S25" s="21" t="n">
        <f aca="false">S24+R25</f>
        <v>6727.01006993097</v>
      </c>
      <c r="T25" s="1" t="n">
        <f aca="false">IF(R25&gt;0,A25,9999)</f>
        <v>22</v>
      </c>
      <c r="U25" s="1" t="n">
        <f aca="false">IF(A25&gt;=Assumptions!$E$29,U24*(1-Assumptions!$E$31)+Assumptions!$E$30,0)</f>
        <v>5.8218</v>
      </c>
      <c r="V25" s="1" t="n">
        <f aca="false">U25*Assumptions!$E$32</f>
        <v>698.616</v>
      </c>
      <c r="W25" s="1" t="n">
        <f aca="false">U25*Assumptions!$E$33</f>
        <v>81.5052</v>
      </c>
    </row>
    <row r="26" customFormat="false" ht="15" hidden="false" customHeight="true" outlineLevel="0" collapsed="false">
      <c r="A26" s="5" t="n">
        <v>23</v>
      </c>
      <c r="B26" s="21" t="n">
        <f aca="false">B25*(1+Assumptions!$E$21)</f>
        <v>731.315179980432</v>
      </c>
      <c r="C26" s="22" t="n">
        <f aca="false">B26/Assumptions!$E$22</f>
        <v>208.947194280123</v>
      </c>
      <c r="D26" s="22" t="n">
        <f aca="false">Assumptions!$E$7*(1+Assumptions!$E$8)^(A26-1)</f>
        <v>8656.18056315662</v>
      </c>
      <c r="E26" s="22" t="n">
        <f aca="false">H25*Assumptions!$E$9</f>
        <v>4395.5831344095</v>
      </c>
      <c r="F26" s="22" t="n">
        <f aca="false">C26+D26+E26</f>
        <v>13260.7108918462</v>
      </c>
      <c r="G26" s="22" t="n">
        <f aca="false">F26*Assumptions!$E$10</f>
        <v>7956.42653510775</v>
      </c>
      <c r="H26" s="22" t="n">
        <f aca="false">H25*(1-Assumptions!$E$11)+G26</f>
        <v>34329.9253415648</v>
      </c>
      <c r="I26" s="22" t="n">
        <f aca="false">G26*Assumptions!$E$12</f>
        <v>222.779942983017</v>
      </c>
      <c r="J26" s="22" t="n">
        <f aca="false">J25*(1-Assumptions!$E$13)+I26</f>
        <v>1375.13561327943</v>
      </c>
      <c r="K26" s="21" t="n">
        <f aca="false">J26*(Assumptions!$E$14*(1-Assumptions!$E$16)+Assumptions!$E$15*Assumptions!$E$16)</f>
        <v>7425.73231170894</v>
      </c>
      <c r="L26" s="21" t="n">
        <f aca="false">K26*(1-Assumptions!$E$19)+V26</f>
        <v>7229.5299849526</v>
      </c>
      <c r="M26" s="21" t="n">
        <f aca="false">H26*Assumptions!$E$23+J26*(Assumptions!$E$17*(1-Assumptions!$E$16)+Assumptions!$E$18*Assumptions!$E$16)</f>
        <v>2872.57948204138</v>
      </c>
      <c r="N26" s="21" t="n">
        <f aca="false">B26</f>
        <v>731.315179980432</v>
      </c>
      <c r="O26" s="21" t="n">
        <f aca="false">IF(A26&gt;=Assumptions!$E$25,Assumptions!$E$26,0)</f>
        <v>0</v>
      </c>
      <c r="P26" s="21" t="n">
        <f aca="false">Assumptions!$E$24</f>
        <v>520</v>
      </c>
      <c r="Q26" s="21" t="n">
        <f aca="false">M26+N26+O26+P26+W26</f>
        <v>4230.95470602182</v>
      </c>
      <c r="R26" s="21" t="n">
        <f aca="false">L26-Q26</f>
        <v>2998.57527893079</v>
      </c>
      <c r="S26" s="21" t="n">
        <f aca="false">S25+R26</f>
        <v>9725.58534886175</v>
      </c>
      <c r="T26" s="1" t="n">
        <f aca="false">IF(R26&gt;0,A26,9999)</f>
        <v>23</v>
      </c>
      <c r="U26" s="1" t="n">
        <f aca="false">IF(A26&gt;=Assumptions!$E$29,U25*(1-Assumptions!$E$31)+Assumptions!$E$30,0)</f>
        <v>7.647146</v>
      </c>
      <c r="V26" s="1" t="n">
        <f aca="false">U26*Assumptions!$E$32</f>
        <v>917.65752</v>
      </c>
      <c r="W26" s="1" t="n">
        <f aca="false">U26*Assumptions!$E$33</f>
        <v>107.060044</v>
      </c>
    </row>
    <row r="27" customFormat="false" ht="15" hidden="false" customHeight="true" outlineLevel="0" collapsed="false">
      <c r="A27" s="5" t="n">
        <v>24</v>
      </c>
      <c r="B27" s="21" t="n">
        <f aca="false">B26*(1+Assumptions!$E$21)</f>
        <v>767.880938979453</v>
      </c>
      <c r="C27" s="22" t="n">
        <f aca="false">B27/Assumptions!$E$22</f>
        <v>219.394553994129</v>
      </c>
      <c r="D27" s="22" t="n">
        <f aca="false">Assumptions!$E$7*(1+Assumptions!$E$8)^(A27-1)</f>
        <v>9435.23681384072</v>
      </c>
      <c r="E27" s="22" t="n">
        <f aca="false">H26*Assumptions!$E$9</f>
        <v>4806.18954781907</v>
      </c>
      <c r="F27" s="22" t="n">
        <f aca="false">C27+D27+E27</f>
        <v>14460.8209156539</v>
      </c>
      <c r="G27" s="22" t="n">
        <f aca="false">F27*Assumptions!$E$10</f>
        <v>8676.49254939235</v>
      </c>
      <c r="H27" s="22" t="n">
        <f aca="false">H26*(1-Assumptions!$E$11)+G27</f>
        <v>37513.6298363067</v>
      </c>
      <c r="I27" s="22" t="n">
        <f aca="false">G27*Assumptions!$E$12</f>
        <v>242.941791382986</v>
      </c>
      <c r="J27" s="22" t="n">
        <f aca="false">J26*(1-Assumptions!$E$13)+I27</f>
        <v>1508.06655560007</v>
      </c>
      <c r="K27" s="21" t="n">
        <f aca="false">J27*(Assumptions!$E$14*(1-Assumptions!$E$16)+Assumptions!$E$15*Assumptions!$E$16)</f>
        <v>8143.55940024035</v>
      </c>
      <c r="L27" s="21" t="n">
        <f aca="false">K27*(1-Assumptions!$E$19)+V27</f>
        <v>8052.1532846043</v>
      </c>
      <c r="M27" s="21" t="n">
        <f aca="false">H27*Assumptions!$E$23+J27*(Assumptions!$E$17*(1-Assumptions!$E$16)+Assumptions!$E$18*Assumptions!$E$16)</f>
        <v>3146.21807959329</v>
      </c>
      <c r="N27" s="21" t="n">
        <f aca="false">B27</f>
        <v>767.880938979453</v>
      </c>
      <c r="O27" s="21" t="n">
        <f aca="false">IF(A27&gt;=Assumptions!$E$25,Assumptions!$E$26,0)</f>
        <v>0</v>
      </c>
      <c r="P27" s="21" t="n">
        <f aca="false">Assumptions!$E$24</f>
        <v>520</v>
      </c>
      <c r="Q27" s="21" t="n">
        <f aca="false">M27+N27+O27+P27+W27</f>
        <v>4565.94726125274</v>
      </c>
      <c r="R27" s="21" t="n">
        <f aca="false">L27-Q27</f>
        <v>3486.20602335156</v>
      </c>
      <c r="S27" s="21" t="n">
        <f aca="false">S26+R27</f>
        <v>13211.7913722133</v>
      </c>
      <c r="T27" s="1" t="n">
        <f aca="false">IF(R27&gt;0,A27,9999)</f>
        <v>24</v>
      </c>
      <c r="U27" s="1" t="n">
        <f aca="false">IF(A27&gt;=Assumptions!$E$29,U26*(1-Assumptions!$E$31)+Assumptions!$E$30,0)</f>
        <v>9.41773162</v>
      </c>
      <c r="V27" s="1" t="n">
        <f aca="false">U27*Assumptions!$E$32</f>
        <v>1130.1277944</v>
      </c>
      <c r="W27" s="1" t="n">
        <f aca="false">U27*Assumptions!$E$33</f>
        <v>131.84824268</v>
      </c>
    </row>
    <row r="28" customFormat="false" ht="15" hidden="false" customHeight="true" outlineLevel="0" collapsed="false">
      <c r="A28" s="5" t="n">
        <v>25</v>
      </c>
      <c r="B28" s="21" t="n">
        <f aca="false">B27*(1+Assumptions!$E$21)</f>
        <v>806.274985928426</v>
      </c>
      <c r="C28" s="22" t="n">
        <f aca="false">B28/Assumptions!$E$22</f>
        <v>230.364281693836</v>
      </c>
      <c r="D28" s="22" t="n">
        <f aca="false">Assumptions!$E$7*(1+Assumptions!$E$8)^(A28-1)</f>
        <v>10284.4081270864</v>
      </c>
      <c r="E28" s="22" t="n">
        <f aca="false">H27*Assumptions!$E$9</f>
        <v>5251.90817708294</v>
      </c>
      <c r="F28" s="22" t="n">
        <f aca="false">C28+D28+E28</f>
        <v>15766.6805858632</v>
      </c>
      <c r="G28" s="22" t="n">
        <f aca="false">F28*Assumptions!$E$10</f>
        <v>9460.0083515179</v>
      </c>
      <c r="H28" s="22" t="n">
        <f aca="false">H27*(1-Assumptions!$E$11)+G28</f>
        <v>40971.4574140155</v>
      </c>
      <c r="I28" s="22" t="n">
        <f aca="false">G28*Assumptions!$E$12</f>
        <v>264.880233842501</v>
      </c>
      <c r="J28" s="22" t="n">
        <f aca="false">J27*(1-Assumptions!$E$13)+I28</f>
        <v>1652.30146499456</v>
      </c>
      <c r="K28" s="21" t="n">
        <f aca="false">J28*(Assumptions!$E$14*(1-Assumptions!$E$16)+Assumptions!$E$15*Assumptions!$E$16)</f>
        <v>8922.42791097063</v>
      </c>
      <c r="L28" s="21" t="n">
        <f aca="false">K28*(1-Assumptions!$E$19)+V28</f>
        <v>8920.28768489304</v>
      </c>
      <c r="M28" s="21" t="n">
        <f aca="false">H28*Assumptions!$E$23+J28*(Assumptions!$E$17*(1-Assumptions!$E$16)+Assumptions!$E$18*Assumptions!$E$16)</f>
        <v>3443.22768551318</v>
      </c>
      <c r="N28" s="21" t="n">
        <f aca="false">B28</f>
        <v>806.274985928426</v>
      </c>
      <c r="O28" s="21" t="n">
        <f aca="false">IF(A28&gt;=Assumptions!$E$25,Assumptions!$E$26,0)</f>
        <v>0</v>
      </c>
      <c r="P28" s="21" t="n">
        <f aca="false">Assumptions!$E$24</f>
        <v>520</v>
      </c>
      <c r="Q28" s="21" t="n">
        <f aca="false">M28+N28+O28+P28+W28</f>
        <v>4925.3954668412</v>
      </c>
      <c r="R28" s="21" t="n">
        <f aca="false">L28-Q28</f>
        <v>3994.89221805183</v>
      </c>
      <c r="S28" s="21" t="n">
        <f aca="false">S27+R28</f>
        <v>17206.6835902651</v>
      </c>
      <c r="T28" s="1" t="n">
        <f aca="false">IF(R28&gt;0,A28,9999)</f>
        <v>25</v>
      </c>
      <c r="U28" s="1" t="n">
        <f aca="false">IF(A28&gt;=Assumptions!$E$29,U27*(1-Assumptions!$E$31)+Assumptions!$E$30,0)</f>
        <v>11.1351996714</v>
      </c>
      <c r="V28" s="1" t="n">
        <f aca="false">U28*Assumptions!$E$32</f>
        <v>1336.223960568</v>
      </c>
      <c r="W28" s="1" t="n">
        <f aca="false">U28*Assumptions!$E$33</f>
        <v>155.8927953996</v>
      </c>
    </row>
    <row r="29" customFormat="false" ht="15" hidden="false" customHeight="true" outlineLevel="0" collapsed="false">
      <c r="A29" s="5" t="n">
        <v>26</v>
      </c>
      <c r="B29" s="21" t="n">
        <f aca="false">B28*(1+Assumptions!$E$21)</f>
        <v>846.588735224847</v>
      </c>
      <c r="C29" s="22" t="n">
        <f aca="false">B29/Assumptions!$E$22</f>
        <v>241.882495778528</v>
      </c>
      <c r="D29" s="22" t="n">
        <f aca="false">Assumptions!$E$7*(1+Assumptions!$E$8)^(A29-1)</f>
        <v>11210.0048585242</v>
      </c>
      <c r="E29" s="22" t="n">
        <f aca="false">H28*Assumptions!$E$9</f>
        <v>5736.00403796218</v>
      </c>
      <c r="F29" s="22" t="n">
        <f aca="false">C29+D29+E29</f>
        <v>17187.8913922649</v>
      </c>
      <c r="G29" s="22" t="n">
        <f aca="false">F29*Assumptions!$E$10</f>
        <v>10312.7348353589</v>
      </c>
      <c r="H29" s="22" t="n">
        <f aca="false">H28*(1-Assumptions!$E$11)+G29</f>
        <v>44728.759063132</v>
      </c>
      <c r="I29" s="22" t="n">
        <f aca="false">G29*Assumptions!$E$12</f>
        <v>288.75657539005</v>
      </c>
      <c r="J29" s="22" t="n">
        <f aca="false">J28*(1-Assumptions!$E$13)+I29</f>
        <v>1808.87392318505</v>
      </c>
      <c r="K29" s="21" t="n">
        <f aca="false">J29*(Assumptions!$E$14*(1-Assumptions!$E$16)+Assumptions!$E$15*Assumptions!$E$16)</f>
        <v>9767.91918519925</v>
      </c>
      <c r="L29" s="21" t="n">
        <f aca="false">K29*(1-Assumptions!$E$19)+V29</f>
        <v>9838.86854917032</v>
      </c>
      <c r="M29" s="21" t="n">
        <f aca="false">H29*Assumptions!$E$23+J29*(Assumptions!$E$17*(1-Assumptions!$E$16)+Assumptions!$E$18*Assumptions!$E$16)</f>
        <v>3765.75382896192</v>
      </c>
      <c r="N29" s="21" t="n">
        <f aca="false">B29</f>
        <v>846.588735224847</v>
      </c>
      <c r="O29" s="21" t="n">
        <f aca="false">IF(A29&gt;=Assumptions!$E$25,Assumptions!$E$26,0)</f>
        <v>0</v>
      </c>
      <c r="P29" s="21" t="n">
        <f aca="false">Assumptions!$E$24</f>
        <v>520</v>
      </c>
      <c r="Q29" s="21" t="n">
        <f aca="false">M29+N29+O29+P29+W29</f>
        <v>5311.55857572438</v>
      </c>
      <c r="R29" s="21" t="n">
        <f aca="false">L29-Q29</f>
        <v>4527.30997344594</v>
      </c>
      <c r="S29" s="21" t="n">
        <f aca="false">S28+R29</f>
        <v>21733.9935637111</v>
      </c>
      <c r="T29" s="1" t="n">
        <f aca="false">IF(R29&gt;0,A29,9999)</f>
        <v>26</v>
      </c>
      <c r="U29" s="1" t="n">
        <f aca="false">IF(A29&gt;=Assumptions!$E$29,U28*(1-Assumptions!$E$31)+Assumptions!$E$30,0)</f>
        <v>12.801143681258</v>
      </c>
      <c r="V29" s="1" t="n">
        <f aca="false">U29*Assumptions!$E$32</f>
        <v>1536.13724175096</v>
      </c>
      <c r="W29" s="1" t="n">
        <f aca="false">U29*Assumptions!$E$33</f>
        <v>179.216011537612</v>
      </c>
    </row>
    <row r="30" customFormat="false" ht="15" hidden="false" customHeight="true" outlineLevel="0" collapsed="false">
      <c r="A30" s="5" t="n">
        <v>27</v>
      </c>
      <c r="B30" s="21" t="n">
        <f aca="false">B29*(1+Assumptions!$E$21)</f>
        <v>888.918171986089</v>
      </c>
      <c r="C30" s="22" t="n">
        <f aca="false">B30/Assumptions!$E$22</f>
        <v>253.976620567454</v>
      </c>
      <c r="D30" s="22" t="n">
        <f aca="false">Assumptions!$E$7*(1+Assumptions!$E$8)^(A30-1)</f>
        <v>12218.9052957913</v>
      </c>
      <c r="E30" s="22" t="n">
        <f aca="false">H29*Assumptions!$E$9</f>
        <v>6262.02626883848</v>
      </c>
      <c r="F30" s="22" t="n">
        <f aca="false">C30+D30+E30</f>
        <v>18734.9081851973</v>
      </c>
      <c r="G30" s="22" t="n">
        <f aca="false">F30*Assumptions!$E$10</f>
        <v>11240.9449111184</v>
      </c>
      <c r="H30" s="22" t="n">
        <f aca="false">H29*(1-Assumptions!$E$11)+G30</f>
        <v>48813.1025241492</v>
      </c>
      <c r="I30" s="22" t="n">
        <f aca="false">G30*Assumptions!$E$12</f>
        <v>314.746457511314</v>
      </c>
      <c r="J30" s="22" t="n">
        <f aca="false">J29*(1-Assumptions!$E$13)+I30</f>
        <v>1978.91046684156</v>
      </c>
      <c r="K30" s="21" t="n">
        <f aca="false">J30*(Assumptions!$E$14*(1-Assumptions!$E$16)+Assumptions!$E$15*Assumptions!$E$16)</f>
        <v>10686.1165209444</v>
      </c>
      <c r="L30" s="21" t="n">
        <f aca="false">K30*(1-Assumptions!$E$19)+V30</f>
        <v>10813.2521673012</v>
      </c>
      <c r="M30" s="21" t="n">
        <f aca="false">H30*Assumptions!$E$23+J30*(Assumptions!$E$17*(1-Assumptions!$E$16)+Assumptions!$E$18*Assumptions!$E$16)</f>
        <v>4116.13310129216</v>
      </c>
      <c r="N30" s="21" t="n">
        <f aca="false">B30</f>
        <v>888.918171986089</v>
      </c>
      <c r="O30" s="21" t="n">
        <f aca="false">IF(A30&gt;=Assumptions!$E$25,Assumptions!$E$26,0)</f>
        <v>0</v>
      </c>
      <c r="P30" s="21" t="n">
        <f aca="false">Assumptions!$E$24</f>
        <v>520</v>
      </c>
      <c r="Q30" s="21" t="n">
        <f aca="false">M30+N30+O30+P30+W30</f>
        <v>5726.89080446974</v>
      </c>
      <c r="R30" s="21" t="n">
        <f aca="false">L30-Q30</f>
        <v>5086.36136283144</v>
      </c>
      <c r="S30" s="21" t="n">
        <f aca="false">S29+R30</f>
        <v>26820.3549265425</v>
      </c>
      <c r="T30" s="1" t="n">
        <f aca="false">IF(R30&gt;0,A30,9999)</f>
        <v>27</v>
      </c>
      <c r="U30" s="1" t="n">
        <f aca="false">IF(A30&gt;=Assumptions!$E$29,U29*(1-Assumptions!$E$31)+Assumptions!$E$30,0)</f>
        <v>14.4171093708203</v>
      </c>
      <c r="V30" s="1" t="n">
        <f aca="false">U30*Assumptions!$E$32</f>
        <v>1730.05312449843</v>
      </c>
      <c r="W30" s="1" t="n">
        <f aca="false">U30*Assumptions!$E$33</f>
        <v>201.839531191484</v>
      </c>
    </row>
    <row r="31" customFormat="false" ht="15" hidden="false" customHeight="true" outlineLevel="0" collapsed="false">
      <c r="A31" s="5" t="n">
        <v>28</v>
      </c>
      <c r="B31" s="21" t="n">
        <f aca="false">B30*(1+Assumptions!$E$21)</f>
        <v>933.364080585394</v>
      </c>
      <c r="C31" s="22" t="n">
        <f aca="false">B31/Assumptions!$E$22</f>
        <v>266.675451595827</v>
      </c>
      <c r="D31" s="22" t="n">
        <f aca="false">Assumptions!$E$7*(1+Assumptions!$E$8)^(A31-1)</f>
        <v>13318.6067724126</v>
      </c>
      <c r="E31" s="22" t="n">
        <f aca="false">H30*Assumptions!$E$9</f>
        <v>6833.83435338089</v>
      </c>
      <c r="F31" s="22" t="n">
        <f aca="false">C31+D31+E31</f>
        <v>20419.1165773893</v>
      </c>
      <c r="G31" s="22" t="n">
        <f aca="false">F31*Assumptions!$E$10</f>
        <v>12251.4699464336</v>
      </c>
      <c r="H31" s="22" t="n">
        <f aca="false">H30*(1-Assumptions!$E$11)+G31</f>
        <v>53254.4760667189</v>
      </c>
      <c r="I31" s="22" t="n">
        <f aca="false">G31*Assumptions!$E$12</f>
        <v>343.04115850014</v>
      </c>
      <c r="J31" s="22" t="n">
        <f aca="false">J30*(1-Assumptions!$E$13)+I31</f>
        <v>2163.63878799437</v>
      </c>
      <c r="K31" s="21" t="n">
        <f aca="false">J31*(Assumptions!$E$14*(1-Assumptions!$E$16)+Assumptions!$E$15*Assumptions!$E$16)</f>
        <v>11683.6494551696</v>
      </c>
      <c r="L31" s="21" t="n">
        <f aca="false">K31*(1-Assumptions!$E$19)+V31</f>
        <v>11849.2535676576</v>
      </c>
      <c r="M31" s="21" t="n">
        <f aca="false">H31*Assumptions!$E$23+J31*(Assumptions!$E$17*(1-Assumptions!$E$16)+Assumptions!$E$18*Assumptions!$E$16)</f>
        <v>4496.91025791403</v>
      </c>
      <c r="N31" s="21" t="n">
        <f aca="false">B31</f>
        <v>933.364080585394</v>
      </c>
      <c r="O31" s="21" t="n">
        <f aca="false">IF(A31&gt;=Assumptions!$E$25,Assumptions!$E$26,0)</f>
        <v>0</v>
      </c>
      <c r="P31" s="21" t="n">
        <f aca="false">Assumptions!$E$24</f>
        <v>520</v>
      </c>
      <c r="Q31" s="21" t="n">
        <f aca="false">M31+N31+O31+P31+W31</f>
        <v>6174.05868375516</v>
      </c>
      <c r="R31" s="21" t="n">
        <f aca="false">L31-Q31</f>
        <v>5675.19488390249</v>
      </c>
      <c r="S31" s="21" t="n">
        <f aca="false">S30+R31</f>
        <v>32495.549810445</v>
      </c>
      <c r="T31" s="1" t="n">
        <f aca="false">IF(R31&gt;0,A31,9999)</f>
        <v>28</v>
      </c>
      <c r="U31" s="1" t="n">
        <f aca="false">IF(A31&gt;=Assumptions!$E$29,U30*(1-Assumptions!$E$31)+Assumptions!$E$30,0)</f>
        <v>15.9845960896956</v>
      </c>
      <c r="V31" s="1" t="n">
        <f aca="false">U31*Assumptions!$E$32</f>
        <v>1918.15153076348</v>
      </c>
      <c r="W31" s="1" t="n">
        <f aca="false">U31*Assumptions!$E$33</f>
        <v>223.784345255739</v>
      </c>
    </row>
    <row r="32" customFormat="false" ht="15" hidden="false" customHeight="true" outlineLevel="0" collapsed="false">
      <c r="A32" s="5" t="n">
        <v>29</v>
      </c>
      <c r="B32" s="21" t="n">
        <f aca="false">B31*(1+Assumptions!$E$21)</f>
        <v>980.032284614664</v>
      </c>
      <c r="C32" s="22" t="n">
        <f aca="false">B32/Assumptions!$E$22</f>
        <v>280.009224175618</v>
      </c>
      <c r="D32" s="22" t="n">
        <f aca="false">Assumptions!$E$7*(1+Assumptions!$E$8)^(A32-1)</f>
        <v>14517.2813819297</v>
      </c>
      <c r="E32" s="22" t="n">
        <f aca="false">H31*Assumptions!$E$9</f>
        <v>7455.62664934065</v>
      </c>
      <c r="F32" s="22" t="n">
        <f aca="false">C32+D32+E32</f>
        <v>22252.9172554459</v>
      </c>
      <c r="G32" s="22" t="n">
        <f aca="false">F32*Assumptions!$E$10</f>
        <v>13351.7503532676</v>
      </c>
      <c r="H32" s="22" t="n">
        <f aca="false">H31*(1-Assumptions!$E$11)+G32</f>
        <v>58085.5102493115</v>
      </c>
      <c r="I32" s="22" t="n">
        <f aca="false">G32*Assumptions!$E$12</f>
        <v>373.849009891492</v>
      </c>
      <c r="J32" s="22" t="n">
        <f aca="false">J31*(1-Assumptions!$E$13)+I32</f>
        <v>2364.39669484631</v>
      </c>
      <c r="K32" s="21" t="n">
        <f aca="false">J32*(Assumptions!$E$14*(1-Assumptions!$E$16)+Assumptions!$E$15*Assumptions!$E$16)</f>
        <v>12767.7421521701</v>
      </c>
      <c r="L32" s="21" t="n">
        <f aca="false">K32*(1-Assumptions!$E$19)+V32</f>
        <v>12953.1878141852</v>
      </c>
      <c r="M32" s="21" t="n">
        <f aca="false">H32*Assumptions!$E$23+J32*(Assumptions!$E$17*(1-Assumptions!$E$16)+Assumptions!$E$18*Assumptions!$E$16)</f>
        <v>4910.8568785734</v>
      </c>
      <c r="N32" s="21" t="n">
        <f aca="false">B32</f>
        <v>980.032284614664</v>
      </c>
      <c r="O32" s="21" t="n">
        <f aca="false">IF(A32&gt;=Assumptions!$E$25,Assumptions!$E$26,0)</f>
        <v>0</v>
      </c>
      <c r="P32" s="21" t="n">
        <f aca="false">Assumptions!$E$24</f>
        <v>520</v>
      </c>
      <c r="Q32" s="21" t="n">
        <f aca="false">M32+N32+O32+P32+W32</f>
        <v>6655.95997808613</v>
      </c>
      <c r="R32" s="21" t="n">
        <f aca="false">L32-Q32</f>
        <v>6297.22783609902</v>
      </c>
      <c r="S32" s="21" t="n">
        <f aca="false">S31+R32</f>
        <v>38792.777646544</v>
      </c>
      <c r="T32" s="1" t="n">
        <f aca="false">IF(R32&gt;0,A32,9999)</f>
        <v>29</v>
      </c>
      <c r="U32" s="1" t="n">
        <f aca="false">IF(A32&gt;=Assumptions!$E$29,U31*(1-Assumptions!$E$31)+Assumptions!$E$30,0)</f>
        <v>17.5050582070048</v>
      </c>
      <c r="V32" s="1" t="n">
        <f aca="false">U32*Assumptions!$E$32</f>
        <v>2100.60698484057</v>
      </c>
      <c r="W32" s="1" t="n">
        <f aca="false">U32*Assumptions!$E$33</f>
        <v>245.070814898067</v>
      </c>
    </row>
    <row r="33" customFormat="false" ht="15" hidden="false" customHeight="true" outlineLevel="0" collapsed="false">
      <c r="A33" s="5" t="n">
        <v>30</v>
      </c>
      <c r="B33" s="21" t="n">
        <f aca="false">B32*(1+Assumptions!$E$21)</f>
        <v>1029.0338988454</v>
      </c>
      <c r="C33" s="22" t="n">
        <f aca="false">B33/Assumptions!$E$22</f>
        <v>294.009685384399</v>
      </c>
      <c r="D33" s="22" t="n">
        <f aca="false">Assumptions!$E$7*(1+Assumptions!$E$8)^(A33-1)</f>
        <v>15823.8367063034</v>
      </c>
      <c r="E33" s="22" t="n">
        <f aca="false">H32*Assumptions!$E$9</f>
        <v>8131.9714349036</v>
      </c>
      <c r="F33" s="22" t="n">
        <f aca="false">C33+D33+E33</f>
        <v>24249.8178265914</v>
      </c>
      <c r="G33" s="22" t="n">
        <f aca="false">F33*Assumptions!$E$10</f>
        <v>14549.8906959548</v>
      </c>
      <c r="H33" s="22" t="n">
        <f aca="false">H32*(1-Assumptions!$E$11)+G33</f>
        <v>63341.7193053764</v>
      </c>
      <c r="I33" s="22" t="n">
        <f aca="false">G33*Assumptions!$E$12</f>
        <v>407.396939486735</v>
      </c>
      <c r="J33" s="22" t="n">
        <f aca="false">J32*(1-Assumptions!$E$13)+I33</f>
        <v>2582.64189874534</v>
      </c>
      <c r="K33" s="21" t="n">
        <f aca="false">J33*(Assumptions!$E$14*(1-Assumptions!$E$16)+Assumptions!$E$15*Assumptions!$E$16)</f>
        <v>13946.2662532249</v>
      </c>
      <c r="L33" s="21" t="n">
        <f aca="false">K33*(1-Assumptions!$E$19)+V33</f>
        <v>14131.9150905365</v>
      </c>
      <c r="M33" s="21" t="n">
        <f aca="false">H33*Assumptions!$E$23+J33*(Assumptions!$E$17*(1-Assumptions!$E$16)+Assumptions!$E$18*Assumptions!$E$16)</f>
        <v>5360.99172348005</v>
      </c>
      <c r="N33" s="21" t="n">
        <f aca="false">B33</f>
        <v>1029.0338988454</v>
      </c>
      <c r="O33" s="21" t="n">
        <f aca="false">IF(A33&gt;=Assumptions!$E$25,Assumptions!$E$26,0)</f>
        <v>0</v>
      </c>
      <c r="P33" s="21" t="n">
        <f aca="false">Assumptions!$E$24</f>
        <v>520</v>
      </c>
      <c r="Q33" s="21" t="n">
        <f aca="false">M33+N33+O33+P33+W33</f>
        <v>7175.74431277658</v>
      </c>
      <c r="R33" s="21" t="n">
        <f aca="false">L33-Q33</f>
        <v>6956.17077775991</v>
      </c>
      <c r="S33" s="21" t="n">
        <f aca="false">S32+R33</f>
        <v>45748.9484243039</v>
      </c>
      <c r="T33" s="1" t="n">
        <f aca="false">IF(R33&gt;0,A33,9999)</f>
        <v>30</v>
      </c>
      <c r="U33" s="1" t="n">
        <f aca="false">IF(A33&gt;=Assumptions!$E$29,U32*(1-Assumptions!$E$31)+Assumptions!$E$30,0)</f>
        <v>18.9799064607946</v>
      </c>
      <c r="V33" s="1" t="n">
        <f aca="false">U33*Assumptions!$E$32</f>
        <v>2277.58877529536</v>
      </c>
      <c r="W33" s="1" t="n">
        <f aca="false">U33*Assumptions!$E$33</f>
        <v>265.718690451125</v>
      </c>
    </row>
    <row r="34" customFormat="false" ht="15" hidden="false" customHeight="true" outlineLevel="0" collapsed="false">
      <c r="A34" s="5" t="n">
        <v>31</v>
      </c>
      <c r="B34" s="21" t="n">
        <f aca="false">B33*(1+Assumptions!$E$21)</f>
        <v>1080.48559378767</v>
      </c>
      <c r="C34" s="22" t="n">
        <f aca="false">B34/Assumptions!$E$22</f>
        <v>308.710169653619</v>
      </c>
      <c r="D34" s="22" t="n">
        <f aca="false">Assumptions!$E$7*(1+Assumptions!$E$8)^(A34-1)</f>
        <v>17247.9820098707</v>
      </c>
      <c r="E34" s="22" t="n">
        <f aca="false">H33*Assumptions!$E$9</f>
        <v>8867.8407027527</v>
      </c>
      <c r="F34" s="22" t="n">
        <f aca="false">C34+D34+E34</f>
        <v>26424.532882277</v>
      </c>
      <c r="G34" s="22" t="n">
        <f aca="false">F34*Assumptions!$E$10</f>
        <v>15854.7197293662</v>
      </c>
      <c r="H34" s="22" t="n">
        <f aca="false">H33*(1-Assumptions!$E$11)+G34</f>
        <v>69061.7639458824</v>
      </c>
      <c r="I34" s="22" t="n">
        <f aca="false">G34*Assumptions!$E$12</f>
        <v>443.932152422253</v>
      </c>
      <c r="J34" s="22" t="n">
        <f aca="false">J33*(1-Assumptions!$E$13)+I34</f>
        <v>2819.96269926797</v>
      </c>
      <c r="K34" s="21" t="n">
        <f aca="false">J34*(Assumptions!$E$14*(1-Assumptions!$E$16)+Assumptions!$E$15*Assumptions!$E$16)</f>
        <v>15227.798576047</v>
      </c>
      <c r="L34" s="21" t="n">
        <f aca="false">K34*(1-Assumptions!$E$19)+V34</f>
        <v>15392.8899016765</v>
      </c>
      <c r="M34" s="21" t="n">
        <f aca="false">H34*Assumptions!$E$23+J34*(Assumptions!$E$17*(1-Assumptions!$E$16)+Assumptions!$E$18*Assumptions!$E$16)</f>
        <v>5850.60293539555</v>
      </c>
      <c r="N34" s="21" t="n">
        <f aca="false">B34</f>
        <v>1080.48559378767</v>
      </c>
      <c r="O34" s="21" t="n">
        <f aca="false">IF(A34&gt;=Assumptions!$E$25,Assumptions!$E$26,0)</f>
        <v>0</v>
      </c>
      <c r="P34" s="21" t="n">
        <f aca="false">Assumptions!$E$24</f>
        <v>520</v>
      </c>
      <c r="Q34" s="21" t="n">
        <f aca="false">M34+N34+O34+P34+W34</f>
        <v>7736.83565892081</v>
      </c>
      <c r="R34" s="21" t="n">
        <f aca="false">L34-Q34</f>
        <v>7656.05424275567</v>
      </c>
      <c r="S34" s="21" t="n">
        <f aca="false">S33+R34</f>
        <v>53405.0026670596</v>
      </c>
      <c r="T34" s="1" t="n">
        <f aca="false">IF(R34&gt;0,A34,9999)</f>
        <v>31</v>
      </c>
      <c r="U34" s="1" t="n">
        <f aca="false">IF(A34&gt;=Assumptions!$E$29,U33*(1-Assumptions!$E$31)+Assumptions!$E$30,0)</f>
        <v>20.4105092669708</v>
      </c>
      <c r="V34" s="1" t="n">
        <f aca="false">U34*Assumptions!$E$32</f>
        <v>2449.2611120365</v>
      </c>
      <c r="W34" s="1" t="n">
        <f aca="false">U34*Assumptions!$E$33</f>
        <v>285.747129737591</v>
      </c>
    </row>
    <row r="35" customFormat="false" ht="15" hidden="false" customHeight="true" outlineLevel="0" collapsed="false">
      <c r="A35" s="5" t="n">
        <v>32</v>
      </c>
      <c r="B35" s="21" t="n">
        <f aca="false">B34*(1+Assumptions!$E$21)</f>
        <v>1134.50987347705</v>
      </c>
      <c r="C35" s="22" t="n">
        <f aca="false">B35/Assumptions!$E$22</f>
        <v>324.1456781363</v>
      </c>
      <c r="D35" s="22" t="n">
        <f aca="false">Assumptions!$E$7*(1+Assumptions!$E$8)^(A35-1)</f>
        <v>18800.300390759</v>
      </c>
      <c r="E35" s="22" t="n">
        <f aca="false">H34*Assumptions!$E$9</f>
        <v>9668.64695242353</v>
      </c>
      <c r="F35" s="22" t="n">
        <f aca="false">C35+D35+E35</f>
        <v>28793.0930213189</v>
      </c>
      <c r="G35" s="22" t="n">
        <f aca="false">F35*Assumptions!$E$10</f>
        <v>17275.8558127913</v>
      </c>
      <c r="H35" s="22" t="n">
        <f aca="false">H34*(1-Assumptions!$E$11)+G35</f>
        <v>75287.7375273325</v>
      </c>
      <c r="I35" s="22" t="n">
        <f aca="false">G35*Assumptions!$E$12</f>
        <v>483.723962758157</v>
      </c>
      <c r="J35" s="22" t="n">
        <f aca="false">J34*(1-Assumptions!$E$13)+I35</f>
        <v>3078.08964608469</v>
      </c>
      <c r="K35" s="21" t="n">
        <f aca="false">J35*(Assumptions!$E$14*(1-Assumptions!$E$16)+Assumptions!$E$15*Assumptions!$E$16)</f>
        <v>16621.6840888573</v>
      </c>
      <c r="L35" s="21" t="n">
        <f aca="false">K35*(1-Assumptions!$E$19)+V35</f>
        <v>16744.2147542041</v>
      </c>
      <c r="M35" s="21" t="n">
        <f aca="false">H35*Assumptions!$E$23+J35*(Assumptions!$E$17*(1-Assumptions!$E$16)+Assumptions!$E$18*Assumptions!$E$16)</f>
        <v>6383.27225157346</v>
      </c>
      <c r="N35" s="21" t="n">
        <f aca="false">B35</f>
        <v>1134.50987347705</v>
      </c>
      <c r="O35" s="21" t="n">
        <f aca="false">IF(A35&gt;=Assumptions!$E$25,Assumptions!$E$26,0)</f>
        <v>0</v>
      </c>
      <c r="P35" s="21" t="n">
        <f aca="false">Assumptions!$E$24</f>
        <v>520</v>
      </c>
      <c r="Q35" s="21" t="n">
        <f aca="false">M35+N35+O35+P35+W35</f>
        <v>8342.95684089597</v>
      </c>
      <c r="R35" s="21" t="n">
        <f aca="false">L35-Q35</f>
        <v>8401.25791330815</v>
      </c>
      <c r="S35" s="21" t="n">
        <f aca="false">S34+R35</f>
        <v>61806.2605803677</v>
      </c>
      <c r="T35" s="1" t="n">
        <f aca="false">IF(R35&gt;0,A35,9999)</f>
        <v>32</v>
      </c>
      <c r="U35" s="1" t="n">
        <f aca="false">IF(A35&gt;=Assumptions!$E$29,U34*(1-Assumptions!$E$31)+Assumptions!$E$30,0)</f>
        <v>21.7981939889617</v>
      </c>
      <c r="V35" s="1" t="n">
        <f aca="false">U35*Assumptions!$E$32</f>
        <v>2615.7832786754</v>
      </c>
      <c r="W35" s="1" t="n">
        <f aca="false">U35*Assumptions!$E$33</f>
        <v>305.174715845463</v>
      </c>
    </row>
    <row r="36" customFormat="false" ht="15" hidden="false" customHeight="true" outlineLevel="0" collapsed="false">
      <c r="A36" s="5" t="n">
        <v>33</v>
      </c>
      <c r="B36" s="21" t="n">
        <f aca="false">B35*(1+Assumptions!$E$21)</f>
        <v>1191.2353671509</v>
      </c>
      <c r="C36" s="22" t="n">
        <f aca="false">B36/Assumptions!$E$22</f>
        <v>340.352962043115</v>
      </c>
      <c r="D36" s="22" t="n">
        <f aca="false">Assumptions!$E$7*(1+Assumptions!$E$8)^(A36-1)</f>
        <v>20492.3274259273</v>
      </c>
      <c r="E36" s="22" t="n">
        <f aca="false">H35*Assumptions!$E$9</f>
        <v>10540.2832538266</v>
      </c>
      <c r="F36" s="22" t="n">
        <f aca="false">C36+D36+E36</f>
        <v>31372.963641797</v>
      </c>
      <c r="G36" s="22" t="n">
        <f aca="false">F36*Assumptions!$E$10</f>
        <v>18823.7781850782</v>
      </c>
      <c r="H36" s="22" t="n">
        <f aca="false">H35*(1-Assumptions!$E$11)+G36</f>
        <v>82065.4777080375</v>
      </c>
      <c r="I36" s="22" t="n">
        <f aca="false">G36*Assumptions!$E$12</f>
        <v>527.06578918219</v>
      </c>
      <c r="J36" s="22" t="n">
        <f aca="false">J35*(1-Assumptions!$E$13)+I36</f>
        <v>3358.9082635801</v>
      </c>
      <c r="K36" s="21" t="n">
        <f aca="false">J36*(Assumptions!$E$14*(1-Assumptions!$E$16)+Assumptions!$E$15*Assumptions!$E$16)</f>
        <v>18138.1046233326</v>
      </c>
      <c r="L36" s="21" t="n">
        <f aca="false">K36*(1-Assumptions!$E$19)+V36</f>
        <v>18194.6987101478</v>
      </c>
      <c r="M36" s="21" t="n">
        <f aca="false">H36*Assumptions!$E$23+J36*(Assumptions!$E$17*(1-Assumptions!$E$16)+Assumptions!$E$18*Assumptions!$E$16)</f>
        <v>6962.90140443846</v>
      </c>
      <c r="N36" s="21" t="n">
        <f aca="false">B36</f>
        <v>1191.2353671509</v>
      </c>
      <c r="O36" s="21" t="n">
        <f aca="false">IF(A36&gt;=Assumptions!$E$25,Assumptions!$E$26,0)</f>
        <v>0</v>
      </c>
      <c r="P36" s="21" t="n">
        <f aca="false">Assumptions!$E$24</f>
        <v>520</v>
      </c>
      <c r="Q36" s="21" t="n">
        <f aca="false">M36+N36+O36+P36+W36</f>
        <v>8998.15624595947</v>
      </c>
      <c r="R36" s="21" t="n">
        <f aca="false">L36-Q36</f>
        <v>9196.54246418835</v>
      </c>
      <c r="S36" s="21" t="n">
        <f aca="false">S35+R36</f>
        <v>71002.8030445561</v>
      </c>
      <c r="T36" s="1" t="n">
        <f aca="false">IF(R36&gt;0,A36,9999)</f>
        <v>33</v>
      </c>
      <c r="U36" s="1" t="n">
        <f aca="false">IF(A36&gt;=Assumptions!$E$29,U35*(1-Assumptions!$E$31)+Assumptions!$E$30,0)</f>
        <v>23.1442481692928</v>
      </c>
      <c r="V36" s="1" t="n">
        <f aca="false">U36*Assumptions!$E$32</f>
        <v>2777.30978031514</v>
      </c>
      <c r="W36" s="1" t="n">
        <f aca="false">U36*Assumptions!$E$33</f>
        <v>324.0194743701</v>
      </c>
    </row>
    <row r="37" customFormat="false" ht="15" hidden="false" customHeight="true" outlineLevel="0" collapsed="false">
      <c r="A37" s="5" t="n">
        <v>34</v>
      </c>
      <c r="B37" s="21" t="n">
        <f aca="false">B36*(1+Assumptions!$E$21)</f>
        <v>1250.79713550845</v>
      </c>
      <c r="C37" s="22" t="n">
        <f aca="false">B37/Assumptions!$E$22</f>
        <v>357.370610145271</v>
      </c>
      <c r="D37" s="22" t="n">
        <f aca="false">Assumptions!$E$7*(1+Assumptions!$E$8)^(A37-1)</f>
        <v>22336.6368942608</v>
      </c>
      <c r="E37" s="22" t="n">
        <f aca="false">H36*Assumptions!$E$9</f>
        <v>11489.1668791253</v>
      </c>
      <c r="F37" s="22" t="n">
        <f aca="false">C37+D37+E37</f>
        <v>34183.1743835313</v>
      </c>
      <c r="G37" s="22" t="n">
        <f aca="false">F37*Assumptions!$E$10</f>
        <v>20509.9046301188</v>
      </c>
      <c r="H37" s="22" t="n">
        <f aca="false">H36*(1-Assumptions!$E$11)+G37</f>
        <v>89444.9059048703</v>
      </c>
      <c r="I37" s="22" t="n">
        <f aca="false">G37*Assumptions!$E$12</f>
        <v>574.277329643326</v>
      </c>
      <c r="J37" s="22" t="n">
        <f aca="false">J36*(1-Assumptions!$E$13)+I37</f>
        <v>3664.47293213702</v>
      </c>
      <c r="K37" s="21" t="n">
        <f aca="false">J37*(Assumptions!$E$14*(1-Assumptions!$E$16)+Assumptions!$E$15*Assumptions!$E$16)</f>
        <v>19788.1538335399</v>
      </c>
      <c r="L37" s="21" t="n">
        <f aca="false">K37*(1-Assumptions!$E$19)+V37</f>
        <v>19753.9212454146</v>
      </c>
      <c r="M37" s="21" t="n">
        <f aca="false">H37*Assumptions!$E$23+J37*(Assumptions!$E$17*(1-Assumptions!$E$16)+Assumptions!$E$18*Assumptions!$E$16)</f>
        <v>7593.74090620972</v>
      </c>
      <c r="N37" s="21" t="n">
        <f aca="false">B37</f>
        <v>1250.79713550845</v>
      </c>
      <c r="O37" s="21" t="n">
        <f aca="false">IF(A37&gt;=Assumptions!$E$25,Assumptions!$E$26,0)</f>
        <v>0</v>
      </c>
      <c r="P37" s="21" t="n">
        <f aca="false">Assumptions!$E$24</f>
        <v>520</v>
      </c>
      <c r="Q37" s="21" t="n">
        <f aca="false">M37+N37+O37+P37+W37</f>
        <v>9706.83693185716</v>
      </c>
      <c r="R37" s="21" t="n">
        <f aca="false">L37-Q37</f>
        <v>10047.0843135575</v>
      </c>
      <c r="S37" s="21" t="n">
        <f aca="false">S36+R37</f>
        <v>81049.8873581135</v>
      </c>
      <c r="T37" s="1" t="n">
        <f aca="false">IF(R37&gt;0,A37,9999)</f>
        <v>34</v>
      </c>
      <c r="U37" s="1" t="n">
        <f aca="false">IF(A37&gt;=Assumptions!$E$29,U36*(1-Assumptions!$E$31)+Assumptions!$E$30,0)</f>
        <v>24.449920724214</v>
      </c>
      <c r="V37" s="1" t="n">
        <f aca="false">U37*Assumptions!$E$32</f>
        <v>2933.99048690568</v>
      </c>
      <c r="W37" s="1" t="n">
        <f aca="false">U37*Assumptions!$E$33</f>
        <v>342.298890138997</v>
      </c>
    </row>
    <row r="38" customFormat="false" ht="15" hidden="false" customHeight="true" outlineLevel="0" collapsed="false">
      <c r="A38" s="5" t="n">
        <v>35</v>
      </c>
      <c r="B38" s="21" t="n">
        <f aca="false">B37*(1+Assumptions!$E$21)</f>
        <v>1313.33699228387</v>
      </c>
      <c r="C38" s="22" t="n">
        <f aca="false">B38/Assumptions!$E$22</f>
        <v>375.239140652534</v>
      </c>
      <c r="D38" s="22" t="n">
        <f aca="false">Assumptions!$E$7*(1+Assumptions!$E$8)^(A38-1)</f>
        <v>24346.9342147443</v>
      </c>
      <c r="E38" s="22" t="n">
        <f aca="false">H37*Assumptions!$E$9</f>
        <v>12522.2868266818</v>
      </c>
      <c r="F38" s="22" t="n">
        <f aca="false">C38+D38+E38</f>
        <v>37244.4601820786</v>
      </c>
      <c r="G38" s="22" t="n">
        <f aca="false">F38*Assumptions!$E$10</f>
        <v>22346.6761092472</v>
      </c>
      <c r="H38" s="22" t="n">
        <f aca="false">H37*(1-Assumptions!$E$11)+G38</f>
        <v>97480.3970693382</v>
      </c>
      <c r="I38" s="22" t="n">
        <f aca="false">G38*Assumptions!$E$12</f>
        <v>625.706931058921</v>
      </c>
      <c r="J38" s="22" t="n">
        <f aca="false">J37*(1-Assumptions!$E$13)+I38</f>
        <v>3997.02202862498</v>
      </c>
      <c r="K38" s="21" t="n">
        <f aca="false">J38*(Assumptions!$E$14*(1-Assumptions!$E$16)+Assumptions!$E$15*Assumptions!$E$16)</f>
        <v>21583.9189545749</v>
      </c>
      <c r="L38" s="21" t="n">
        <f aca="false">K38*(1-Assumptions!$E$19)+V38</f>
        <v>21432.3018836872</v>
      </c>
      <c r="M38" s="21" t="n">
        <f aca="false">H38*Assumptions!$E$23+J38*(Assumptions!$E$17*(1-Assumptions!$E$16)+Assumptions!$E$18*Assumptions!$E$16)</f>
        <v>8280.42143043762</v>
      </c>
      <c r="N38" s="21" t="n">
        <f aca="false">B38</f>
        <v>1313.33699228387</v>
      </c>
      <c r="O38" s="21" t="n">
        <f aca="false">IF(A38&gt;=Assumptions!$E$25,Assumptions!$E$26,0)</f>
        <v>0</v>
      </c>
      <c r="P38" s="21" t="n">
        <f aca="false">Assumptions!$E$24</f>
        <v>520</v>
      </c>
      <c r="Q38" s="21" t="n">
        <f aca="false">M38+N38+O38+P38+W38</f>
        <v>10473.7883461563</v>
      </c>
      <c r="R38" s="21" t="n">
        <f aca="false">L38-Q38</f>
        <v>10958.5135375309</v>
      </c>
      <c r="S38" s="21" t="n">
        <f aca="false">S37+R38</f>
        <v>92008.4008956444</v>
      </c>
      <c r="T38" s="1" t="n">
        <f aca="false">IF(R38&gt;0,A38,9999)</f>
        <v>35</v>
      </c>
      <c r="U38" s="1" t="n">
        <f aca="false">IF(A38&gt;=Assumptions!$E$29,U37*(1-Assumptions!$E$31)+Assumptions!$E$30,0)</f>
        <v>25.7164231024876</v>
      </c>
      <c r="V38" s="1" t="n">
        <f aca="false">U38*Assumptions!$E$32</f>
        <v>3085.97077229851</v>
      </c>
      <c r="W38" s="1" t="n">
        <f aca="false">U38*Assumptions!$E$33</f>
        <v>360.029923434827</v>
      </c>
    </row>
    <row r="39" customFormat="false" ht="15" hidden="false" customHeight="true" outlineLevel="0" collapsed="false">
      <c r="A39" s="5" t="n">
        <v>36</v>
      </c>
      <c r="B39" s="21" t="n">
        <f aca="false">B38*(1+Assumptions!$E$21)</f>
        <v>1379.00384189806</v>
      </c>
      <c r="C39" s="22" t="n">
        <f aca="false">B39/Assumptions!$E$22</f>
        <v>394.001097685161</v>
      </c>
      <c r="D39" s="22" t="n">
        <f aca="false">Assumptions!$E$7*(1+Assumptions!$E$8)^(A39-1)</f>
        <v>26538.1582940713</v>
      </c>
      <c r="E39" s="22" t="n">
        <f aca="false">H38*Assumptions!$E$9</f>
        <v>13647.2555897074</v>
      </c>
      <c r="F39" s="22" t="n">
        <f aca="false">C39+D39+E39</f>
        <v>40579.4149814638</v>
      </c>
      <c r="G39" s="22" t="n">
        <f aca="false">F39*Assumptions!$E$10</f>
        <v>24347.6489888783</v>
      </c>
      <c r="H39" s="22" t="n">
        <f aca="false">H38*(1-Assumptions!$E$11)+G39</f>
        <v>106231.182527122</v>
      </c>
      <c r="I39" s="22" t="n">
        <f aca="false">G39*Assumptions!$E$12</f>
        <v>681.734171688591</v>
      </c>
      <c r="J39" s="22" t="n">
        <f aca="false">J38*(1-Assumptions!$E$13)+I39</f>
        <v>4358.99443802357</v>
      </c>
      <c r="K39" s="21" t="n">
        <f aca="false">J39*(Assumptions!$E$14*(1-Assumptions!$E$16)+Assumptions!$E$15*Assumptions!$E$16)</f>
        <v>23538.5699653273</v>
      </c>
      <c r="L39" s="21" t="n">
        <f aca="false">K39*(1-Assumptions!$E$19)+V39</f>
        <v>23241.1761196578</v>
      </c>
      <c r="M39" s="21" t="n">
        <f aca="false">H39*Assumptions!$E$23+J39*(Assumptions!$E$17*(1-Assumptions!$E$16)+Assumptions!$E$18*Assumptions!$E$16)</f>
        <v>9027.98802276526</v>
      </c>
      <c r="N39" s="21" t="n">
        <f aca="false">B39</f>
        <v>1379.00384189806</v>
      </c>
      <c r="O39" s="21" t="n">
        <f aca="false">IF(A39&gt;=Assumptions!$E$25,Assumptions!$E$26,0)</f>
        <v>0</v>
      </c>
      <c r="P39" s="21" t="n">
        <f aca="false">Assumptions!$E$24</f>
        <v>520</v>
      </c>
      <c r="Q39" s="21" t="n">
        <f aca="false">M39+N39+O39+P39+W39</f>
        <v>11304.2208903951</v>
      </c>
      <c r="R39" s="21" t="n">
        <f aca="false">L39-Q39</f>
        <v>11936.9552292627</v>
      </c>
      <c r="S39" s="21" t="n">
        <f aca="false">S38+R39</f>
        <v>103945.356124907</v>
      </c>
      <c r="T39" s="1" t="n">
        <f aca="false">IF(R39&gt;0,A39,9999)</f>
        <v>36</v>
      </c>
      <c r="U39" s="1" t="n">
        <f aca="false">IF(A39&gt;=Assumptions!$E$29,U38*(1-Assumptions!$E$31)+Assumptions!$E$30,0)</f>
        <v>26.944930409413</v>
      </c>
      <c r="V39" s="1" t="n">
        <f aca="false">U39*Assumptions!$E$32</f>
        <v>3233.39164912956</v>
      </c>
      <c r="W39" s="1" t="n">
        <f aca="false">U39*Assumptions!$E$33</f>
        <v>377.229025731782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2" t="s">
        <v>103</v>
      </c>
    </row>
    <row r="3" customFormat="false" ht="15" hidden="false" customHeight="true" outlineLevel="0" collapsed="false">
      <c r="A3" s="5" t="s">
        <v>104</v>
      </c>
      <c r="B3" s="23" t="n">
        <f aca="false">(Assumptions!$E$14*(1-Assumptions!$E$16)+Assumptions!$E$15*Assumptions!$E$16)</f>
        <v>5.4</v>
      </c>
    </row>
    <row r="4" customFormat="false" ht="15" hidden="false" customHeight="true" outlineLevel="0" collapsed="false">
      <c r="A4" s="5" t="s">
        <v>53</v>
      </c>
      <c r="B4" s="24" t="n">
        <f aca="false">Assumptions!$E$19</f>
        <v>0.15</v>
      </c>
    </row>
    <row r="5" customFormat="false" ht="15" hidden="false" customHeight="true" outlineLevel="0" collapsed="false">
      <c r="A5" s="5" t="s">
        <v>105</v>
      </c>
      <c r="B5" s="23" t="n">
        <f aca="false">B3*(1-B4)</f>
        <v>4.59</v>
      </c>
    </row>
    <row r="6" customFormat="false" ht="15" hidden="false" customHeight="true" outlineLevel="0" collapsed="false">
      <c r="A6" s="5" t="s">
        <v>41</v>
      </c>
      <c r="B6" s="24" t="n">
        <f aca="false">Assumptions!$E$13</f>
        <v>0.08</v>
      </c>
    </row>
    <row r="7" customFormat="false" ht="15" hidden="false" customHeight="true" outlineLevel="0" collapsed="false">
      <c r="A7" s="5" t="s">
        <v>106</v>
      </c>
      <c r="B7" s="25" t="n">
        <f aca="false">1/B6</f>
        <v>12.5</v>
      </c>
    </row>
    <row r="8" customFormat="false" ht="15" hidden="false" customHeight="true" outlineLevel="0" collapsed="false">
      <c r="A8" s="5" t="s">
        <v>107</v>
      </c>
      <c r="B8" s="23" t="n">
        <f aca="false">B5*B7</f>
        <v>57.375</v>
      </c>
    </row>
    <row r="9" customFormat="false" ht="15" hidden="false" customHeight="true" outlineLevel="0" collapsed="false">
      <c r="A9" s="5" t="s">
        <v>108</v>
      </c>
      <c r="B9" s="23" t="n">
        <f aca="false">(Assumptions!$E$17*(1-Assumptions!$E$16)+Assumptions!$E$18*Assumptions!$E$16)*B7</f>
        <v>16.75</v>
      </c>
    </row>
    <row r="10" customFormat="false" ht="15" hidden="false" customHeight="true" outlineLevel="0" collapsed="false">
      <c r="A10" s="5" t="s">
        <v>109</v>
      </c>
      <c r="B10" s="23" t="n">
        <f aca="false">B8-B9</f>
        <v>40.625</v>
      </c>
    </row>
    <row r="11" customFormat="false" ht="15" hidden="false" customHeight="true" outlineLevel="0" collapsed="false">
      <c r="A11" s="5" t="s">
        <v>110</v>
      </c>
      <c r="B11" s="26" t="n">
        <f aca="false">SUM(Model!N4:N39)/SUM(Model!I4:I39)</f>
        <v>3.06723209420372</v>
      </c>
    </row>
    <row r="12" customFormat="false" ht="15" hidden="false" customHeight="true" outlineLevel="0" collapsed="false">
      <c r="A12" s="5" t="s">
        <v>111</v>
      </c>
      <c r="B12" s="23" t="n">
        <f aca="false">Assumptions!$E$22/Assumptions!$E$12</f>
        <v>125</v>
      </c>
    </row>
    <row r="13" customFormat="false" ht="15" hidden="false" customHeight="true" outlineLevel="0" collapsed="false">
      <c r="A13" s="5" t="s">
        <v>112</v>
      </c>
      <c r="B13" s="27" t="n">
        <f aca="false">B10/B11</f>
        <v>13.2448405442714</v>
      </c>
    </row>
    <row r="14" customFormat="false" ht="15" hidden="false" customHeight="true" outlineLevel="0" collapsed="false">
      <c r="A14" s="3" t="s">
        <v>113</v>
      </c>
      <c r="B14" s="25" t="n">
        <f aca="false">B11/B5</f>
        <v>0.668242286318893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2026-06-01T00:06:13Z</dcterms:created>
  <dc:creator>openpyxl</dc:creator>
  <dc:description/>
  <dc:language>en-US</dc:language>
  <cp:lastModifiedBy/>
  <dcterms:modified xsi:type="dcterms:W3CDTF">2026-06-04T22:33:58Z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